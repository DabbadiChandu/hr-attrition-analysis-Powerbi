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Real world Tasks\"/>
    </mc:Choice>
  </mc:AlternateContent>
  <xr:revisionPtr revIDLastSave="0" documentId="13_ncr:1_{E622EC50-E390-4835-BBF8-1C99FC74E421}" xr6:coauthVersionLast="47" xr6:coauthVersionMax="47" xr10:uidLastSave="{00000000-0000-0000-0000-000000000000}"/>
  <bookViews>
    <workbookView xWindow="-108" yWindow="-108" windowWidth="23256" windowHeight="12456" activeTab="1" xr2:uid="{82C6C206-8756-4F38-92CE-078555728BFD}"/>
  </bookViews>
  <sheets>
    <sheet name="Age group" sheetId="3" r:id="rId1"/>
    <sheet name="Department" sheetId="5" r:id="rId2"/>
    <sheet name="HR dataset" sheetId="1" r:id="rId3"/>
  </sheets>
  <definedNames>
    <definedName name="_xlnm._FilterDatabase" localSheetId="2" hidden="1">'HR dataset'!$A$1:$N$101</definedName>
  </definedNames>
  <calcPr calcId="191029"/>
  <pivotCaches>
    <pivotCache cacheId="2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5" l="1"/>
  <c r="F8" i="5"/>
  <c r="F7" i="5"/>
  <c r="F6" i="5"/>
  <c r="F5" i="5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2" i="1"/>
</calcChain>
</file>

<file path=xl/sharedStrings.xml><?xml version="1.0" encoding="utf-8"?>
<sst xmlns="http://schemas.openxmlformats.org/spreadsheetml/2006/main" count="883" uniqueCount="252">
  <si>
    <t>Emp ID</t>
  </si>
  <si>
    <t>Name</t>
  </si>
  <si>
    <t>Age</t>
  </si>
  <si>
    <t>Gender</t>
  </si>
  <si>
    <t>Department</t>
  </si>
  <si>
    <t>Job Role</t>
  </si>
  <si>
    <t>Monthly Salary</t>
  </si>
  <si>
    <t>Years at Company</t>
  </si>
  <si>
    <t>Attrition</t>
  </si>
  <si>
    <t>Reason for Leaving</t>
  </si>
  <si>
    <t>Performance Rating</t>
  </si>
  <si>
    <t>Marital Status</t>
  </si>
  <si>
    <t>Work-Life Balance</t>
  </si>
  <si>
    <t>E001</t>
  </si>
  <si>
    <t>Amit Sharma</t>
  </si>
  <si>
    <t>Male</t>
  </si>
  <si>
    <t>Sales</t>
  </si>
  <si>
    <t>Sales Executive</t>
  </si>
  <si>
    <t>Yes</t>
  </si>
  <si>
    <t>Low Salary</t>
  </si>
  <si>
    <t>Single</t>
  </si>
  <si>
    <t>Poor</t>
  </si>
  <si>
    <t>E002</t>
  </si>
  <si>
    <t>Priya Nair</t>
  </si>
  <si>
    <t>Female</t>
  </si>
  <si>
    <t>HR</t>
  </si>
  <si>
    <t>HR Manager</t>
  </si>
  <si>
    <t>No</t>
  </si>
  <si>
    <t>Married</t>
  </si>
  <si>
    <t>Good</t>
  </si>
  <si>
    <t>E003</t>
  </si>
  <si>
    <t>Rahul Verma</t>
  </si>
  <si>
    <t>IT</t>
  </si>
  <si>
    <t>Software Dev</t>
  </si>
  <si>
    <t>Better Opportunity</t>
  </si>
  <si>
    <t>E004</t>
  </si>
  <si>
    <t>Sneha Pillai</t>
  </si>
  <si>
    <t>Finance</t>
  </si>
  <si>
    <t>Accountant</t>
  </si>
  <si>
    <t>Excellent</t>
  </si>
  <si>
    <t>E005</t>
  </si>
  <si>
    <t>Karan Mehta</t>
  </si>
  <si>
    <t>E006</t>
  </si>
  <si>
    <t>Divya Rao</t>
  </si>
  <si>
    <t>Team Lead</t>
  </si>
  <si>
    <t>E007</t>
  </si>
  <si>
    <t>Vikram Singh</t>
  </si>
  <si>
    <t>Marketing</t>
  </si>
  <si>
    <t>Marketing Exec</t>
  </si>
  <si>
    <t>E008</t>
  </si>
  <si>
    <t>Ananya Das</t>
  </si>
  <si>
    <t>HR Executive</t>
  </si>
  <si>
    <t>E009</t>
  </si>
  <si>
    <t>Suresh Kumar</t>
  </si>
  <si>
    <t>Finance Manager</t>
  </si>
  <si>
    <t>E010</t>
  </si>
  <si>
    <t>Meena Iyer</t>
  </si>
  <si>
    <t>E011</t>
  </si>
  <si>
    <t>Rajesh Gupta</t>
  </si>
  <si>
    <t>E012</t>
  </si>
  <si>
    <t>Kavitha Menon</t>
  </si>
  <si>
    <t>Average</t>
  </si>
  <si>
    <t>E013</t>
  </si>
  <si>
    <t>Arun Nambiar</t>
  </si>
  <si>
    <t>CFO</t>
  </si>
  <si>
    <t>E014</t>
  </si>
  <si>
    <t>Pooja Sharma</t>
  </si>
  <si>
    <t>E015</t>
  </si>
  <si>
    <t>Deepak Joshi</t>
  </si>
  <si>
    <t>Senior Dev</t>
  </si>
  <si>
    <t>E016</t>
  </si>
  <si>
    <t>Lakshmi Nair</t>
  </si>
  <si>
    <t>E017</t>
  </si>
  <si>
    <t>Manoj Tiwari</t>
  </si>
  <si>
    <t>Marketing Manager</t>
  </si>
  <si>
    <t>E018</t>
  </si>
  <si>
    <t>Ritu Agarwal</t>
  </si>
  <si>
    <t>E019</t>
  </si>
  <si>
    <t>Sanjay Patel</t>
  </si>
  <si>
    <t>E020</t>
  </si>
  <si>
    <t>Nisha Reddy</t>
  </si>
  <si>
    <t>E021</t>
  </si>
  <si>
    <t>Arjun Kapoor</t>
  </si>
  <si>
    <t>E022</t>
  </si>
  <si>
    <t>Sunita Jain</t>
  </si>
  <si>
    <t>E023</t>
  </si>
  <si>
    <t>Vivek Sharma</t>
  </si>
  <si>
    <t>E024</t>
  </si>
  <si>
    <t>Geeta Pillai</t>
  </si>
  <si>
    <t>E025</t>
  </si>
  <si>
    <t>Rohit Verma</t>
  </si>
  <si>
    <t>E026</t>
  </si>
  <si>
    <t>Anita Desai</t>
  </si>
  <si>
    <t>E027</t>
  </si>
  <si>
    <t>Sunil Rao</t>
  </si>
  <si>
    <t>E028</t>
  </si>
  <si>
    <t>Rekha Nair</t>
  </si>
  <si>
    <t>E029</t>
  </si>
  <si>
    <t>Prakash Iyer</t>
  </si>
  <si>
    <t>E030</t>
  </si>
  <si>
    <t>Swati Gupta</t>
  </si>
  <si>
    <t>E031</t>
  </si>
  <si>
    <t>Nikhil Joshi</t>
  </si>
  <si>
    <t>E032</t>
  </si>
  <si>
    <t>Pallavi Menon</t>
  </si>
  <si>
    <t>E033</t>
  </si>
  <si>
    <t>Dinesh Kumar</t>
  </si>
  <si>
    <t>E034</t>
  </si>
  <si>
    <t>Anjali Singh</t>
  </si>
  <si>
    <t>E035</t>
  </si>
  <si>
    <t>Rajiv Sharma</t>
  </si>
  <si>
    <t>IT Manager</t>
  </si>
  <si>
    <t>E036</t>
  </si>
  <si>
    <t>Hema Rao</t>
  </si>
  <si>
    <t>E037</t>
  </si>
  <si>
    <t>Ashok Tiwari</t>
  </si>
  <si>
    <t>E038</t>
  </si>
  <si>
    <t>Deepa Agarwal</t>
  </si>
  <si>
    <t>E039</t>
  </si>
  <si>
    <t>Vinod Patel</t>
  </si>
  <si>
    <t>E040</t>
  </si>
  <si>
    <t>Shilpa Reddy</t>
  </si>
  <si>
    <t>E041</t>
  </si>
  <si>
    <t>Aditya Kapoor</t>
  </si>
  <si>
    <t>E042</t>
  </si>
  <si>
    <t>Kavya Jain</t>
  </si>
  <si>
    <t>E043</t>
  </si>
  <si>
    <t>Sameer Sharma</t>
  </si>
  <si>
    <t>E044</t>
  </si>
  <si>
    <t>Usha Pillai</t>
  </si>
  <si>
    <t>E045</t>
  </si>
  <si>
    <t>Gaurav Verma</t>
  </si>
  <si>
    <t>E046</t>
  </si>
  <si>
    <t>Meera Nair</t>
  </si>
  <si>
    <t>E047</t>
  </si>
  <si>
    <t>Harish Rao</t>
  </si>
  <si>
    <t>E048</t>
  </si>
  <si>
    <t>Sindhu Iyer</t>
  </si>
  <si>
    <t>E049</t>
  </si>
  <si>
    <t>Ramesh Gupta</t>
  </si>
  <si>
    <t>E050</t>
  </si>
  <si>
    <t>Bhavana Joshi</t>
  </si>
  <si>
    <t>E051</t>
  </si>
  <si>
    <t>Tushar Menon</t>
  </si>
  <si>
    <t>E052</t>
  </si>
  <si>
    <t>Preethi Singh</t>
  </si>
  <si>
    <t>E053</t>
  </si>
  <si>
    <t>Balaji Kumar</t>
  </si>
  <si>
    <t>E054</t>
  </si>
  <si>
    <t>Nandini Sharma</t>
  </si>
  <si>
    <t>E055</t>
  </si>
  <si>
    <t>Suresh Tiwari</t>
  </si>
  <si>
    <t>E056</t>
  </si>
  <si>
    <t>Geetha Agarwal</t>
  </si>
  <si>
    <t>E057</t>
  </si>
  <si>
    <t>Mohan Patel</t>
  </si>
  <si>
    <t>E058</t>
  </si>
  <si>
    <t>Saranya Reddy</t>
  </si>
  <si>
    <t>E059</t>
  </si>
  <si>
    <t>Girish Kapoor</t>
  </si>
  <si>
    <t>E060</t>
  </si>
  <si>
    <t>Archana Jain</t>
  </si>
  <si>
    <t>E061</t>
  </si>
  <si>
    <t>Naveen Sharma</t>
  </si>
  <si>
    <t>E062</t>
  </si>
  <si>
    <t>Revathi Nair</t>
  </si>
  <si>
    <t>E063</t>
  </si>
  <si>
    <t>Prasad Verma</t>
  </si>
  <si>
    <t>E064</t>
  </si>
  <si>
    <t>Lalitha Pillai</t>
  </si>
  <si>
    <t>E065</t>
  </si>
  <si>
    <t>Shankar Rao</t>
  </si>
  <si>
    <t>E066</t>
  </si>
  <si>
    <t>Padma Iyer</t>
  </si>
  <si>
    <t>E067</t>
  </si>
  <si>
    <t>Venkat Gupta</t>
  </si>
  <si>
    <t>E068</t>
  </si>
  <si>
    <t>Indira Joshi</t>
  </si>
  <si>
    <t>E069</t>
  </si>
  <si>
    <t>Rajan Menon</t>
  </si>
  <si>
    <t>E070</t>
  </si>
  <si>
    <t>Chitra Singh</t>
  </si>
  <si>
    <t>E071</t>
  </si>
  <si>
    <t>Kartik Kumar</t>
  </si>
  <si>
    <t>E072</t>
  </si>
  <si>
    <t>Mythili Sharma</t>
  </si>
  <si>
    <t>E073</t>
  </si>
  <si>
    <t>Bhaskar Tiwari</t>
  </si>
  <si>
    <t>E074</t>
  </si>
  <si>
    <t>Savitha Agarwal</t>
  </si>
  <si>
    <t>E075</t>
  </si>
  <si>
    <t>Harsha Patel</t>
  </si>
  <si>
    <t>E076</t>
  </si>
  <si>
    <t>Nalini Reddy</t>
  </si>
  <si>
    <t>E077</t>
  </si>
  <si>
    <t>Sudhir Kapoor</t>
  </si>
  <si>
    <t>E078</t>
  </si>
  <si>
    <t>Vasantha Jain</t>
  </si>
  <si>
    <t>E079</t>
  </si>
  <si>
    <t>Gopal Sharma</t>
  </si>
  <si>
    <t>E080</t>
  </si>
  <si>
    <t>Shanthi Nair</t>
  </si>
  <si>
    <t>E081</t>
  </si>
  <si>
    <t>Suresh Verma</t>
  </si>
  <si>
    <t>E082</t>
  </si>
  <si>
    <t>Kamala Rao</t>
  </si>
  <si>
    <t>E083</t>
  </si>
  <si>
    <t>Ravi Iyer</t>
  </si>
  <si>
    <t>E084</t>
  </si>
  <si>
    <t>Meenakshi Gupta</t>
  </si>
  <si>
    <t>E085</t>
  </si>
  <si>
    <t>Sridhar Joshi</t>
  </si>
  <si>
    <t>E086</t>
  </si>
  <si>
    <t>Vimala Menon</t>
  </si>
  <si>
    <t>E087</t>
  </si>
  <si>
    <t>Anand Singh</t>
  </si>
  <si>
    <t>E088</t>
  </si>
  <si>
    <t>Saroja Kumar</t>
  </si>
  <si>
    <t>E089</t>
  </si>
  <si>
    <t>Murali Sharma</t>
  </si>
  <si>
    <t>E090</t>
  </si>
  <si>
    <t>Bhanu Tiwari</t>
  </si>
  <si>
    <t>E091</t>
  </si>
  <si>
    <t>Ganesh Agarwal</t>
  </si>
  <si>
    <t>E092</t>
  </si>
  <si>
    <t>Radha Patel</t>
  </si>
  <si>
    <t>E093</t>
  </si>
  <si>
    <t>Natarajan Reddy</t>
  </si>
  <si>
    <t>E094</t>
  </si>
  <si>
    <t>Bhavani Kapoor</t>
  </si>
  <si>
    <t>E095</t>
  </si>
  <si>
    <t>Selvam Jain</t>
  </si>
  <si>
    <t>E096</t>
  </si>
  <si>
    <t>Kumari Sharma</t>
  </si>
  <si>
    <t>E097</t>
  </si>
  <si>
    <t>Muthukumar Nair</t>
  </si>
  <si>
    <t>E098</t>
  </si>
  <si>
    <t>Padmavathi Verma</t>
  </si>
  <si>
    <t>E099</t>
  </si>
  <si>
    <t>Krishnamurthy Rao</t>
  </si>
  <si>
    <t>E100</t>
  </si>
  <si>
    <t>Jayalakshmi Iyer</t>
  </si>
  <si>
    <t>Age Group Column</t>
  </si>
  <si>
    <t>Grand Total</t>
  </si>
  <si>
    <t>Column Labels</t>
  </si>
  <si>
    <t>Count of Emp ID</t>
  </si>
  <si>
    <t>25-35</t>
  </si>
  <si>
    <t>36-45</t>
  </si>
  <si>
    <t>46+</t>
  </si>
  <si>
    <t>Under 25</t>
  </si>
  <si>
    <t>Age Group</t>
  </si>
  <si>
    <t>Attrition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</si>
</sst>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bbadi Chandu" refreshedDate="46177.359571412038" createdVersion="8" refreshedVersion="8" minRefreshableVersion="3" recordCount="100" xr:uid="{D1712BA3-7782-4CA6-8BB0-FC6349CCAE16}">
  <cacheSource type="worksheet">
    <worksheetSource ref="A1:N101" sheet="HR dataset"/>
  </cacheSource>
  <cacheFields count="14">
    <cacheField name="Emp ID" numFmtId="0">
      <sharedItems/>
    </cacheField>
    <cacheField name="Name" numFmtId="0">
      <sharedItems/>
    </cacheField>
    <cacheField name="Age" numFmtId="0">
      <sharedItems containsSemiMixedTypes="0" containsString="0" containsNumber="1" containsInteger="1" minValue="23" maxValue="60"/>
    </cacheField>
    <cacheField name="Gender" numFmtId="0">
      <sharedItems/>
    </cacheField>
    <cacheField name="Department" numFmtId="0">
      <sharedItems count="6">
        <s v="Sales"/>
        <s v="HR"/>
        <s v="IT"/>
        <s v="Finance"/>
        <s v="Marketing"/>
        <s v="Fiance" u="1"/>
      </sharedItems>
    </cacheField>
    <cacheField name="Job Role" numFmtId="0">
      <sharedItems/>
    </cacheField>
    <cacheField name="Monthly Salary" numFmtId="0">
      <sharedItems containsSemiMixedTypes="0" containsString="0" containsNumber="1" containsInteger="1" minValue="27000" maxValue="130000"/>
    </cacheField>
    <cacheField name="Years at Company" numFmtId="0">
      <sharedItems containsSemiMixedTypes="0" containsString="0" containsNumber="1" containsInteger="1" minValue="1" maxValue="25"/>
    </cacheField>
    <cacheField name="Attrition" numFmtId="0">
      <sharedItems count="2">
        <s v="Yes"/>
        <s v="No"/>
      </sharedItems>
    </cacheField>
    <cacheField name="Reason for Leaving" numFmtId="0">
      <sharedItems containsBlank="1"/>
    </cacheField>
    <cacheField name="Performance Rating" numFmtId="0">
      <sharedItems containsSemiMixedTypes="0" containsString="0" containsNumber="1" containsInteger="1" minValue="2" maxValue="5"/>
    </cacheField>
    <cacheField name="Marital Status" numFmtId="0">
      <sharedItems/>
    </cacheField>
    <cacheField name="Work-Life Balance" numFmtId="0">
      <sharedItems/>
    </cacheField>
    <cacheField name="Age Group Column" numFmtId="0">
      <sharedItems count="4">
        <s v="25-35"/>
        <s v="Under 25"/>
        <s v="36-45"/>
        <s v="46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001"/>
    <s v="Amit Sharma"/>
    <n v="28"/>
    <s v="Male"/>
    <x v="0"/>
    <s v="Sales Executive"/>
    <n v="32000"/>
    <n v="2"/>
    <x v="0"/>
    <s v="Low Salary"/>
    <n v="3"/>
    <s v="Single"/>
    <s v="Poor"/>
    <x v="0"/>
  </r>
  <r>
    <s v="E002"/>
    <s v="Priya Nair"/>
    <n v="35"/>
    <s v="Female"/>
    <x v="1"/>
    <s v="HR Manager"/>
    <n v="55000"/>
    <n v="7"/>
    <x v="1"/>
    <m/>
    <n v="4"/>
    <s v="Married"/>
    <s v="Good"/>
    <x v="0"/>
  </r>
  <r>
    <s v="E003"/>
    <s v="Rahul Verma"/>
    <n v="24"/>
    <s v="Male"/>
    <x v="2"/>
    <s v="Software Dev"/>
    <n v="42000"/>
    <n v="1"/>
    <x v="0"/>
    <s v="Better Opportunity"/>
    <n v="3"/>
    <s v="Single"/>
    <s v="Poor"/>
    <x v="1"/>
  </r>
  <r>
    <s v="E004"/>
    <s v="Sneha Pillai"/>
    <n v="42"/>
    <s v="Female"/>
    <x v="3"/>
    <s v="Accountant"/>
    <n v="48000"/>
    <n v="10"/>
    <x v="1"/>
    <m/>
    <n v="5"/>
    <s v="Married"/>
    <s v="Excellent"/>
    <x v="2"/>
  </r>
  <r>
    <s v="E005"/>
    <s v="Karan Mehta"/>
    <n v="29"/>
    <s v="Male"/>
    <x v="0"/>
    <s v="Sales Executive"/>
    <n v="31000"/>
    <n v="3"/>
    <x v="0"/>
    <s v="Low Salary"/>
    <n v="2"/>
    <s v="Single"/>
    <s v="Poor"/>
    <x v="0"/>
  </r>
  <r>
    <s v="E006"/>
    <s v="Divya Rao"/>
    <n v="38"/>
    <s v="Female"/>
    <x v="2"/>
    <s v="Team Lead"/>
    <n v="72000"/>
    <n v="9"/>
    <x v="1"/>
    <m/>
    <n v="5"/>
    <s v="Married"/>
    <s v="Good"/>
    <x v="2"/>
  </r>
  <r>
    <s v="E007"/>
    <s v="Vikram Singh"/>
    <n v="26"/>
    <s v="Male"/>
    <x v="4"/>
    <s v="Marketing Exec"/>
    <n v="35000"/>
    <n v="1"/>
    <x v="0"/>
    <s v="Work-Life Balance"/>
    <n v="2"/>
    <s v="Single"/>
    <s v="Poor"/>
    <x v="0"/>
  </r>
  <r>
    <s v="E008"/>
    <s v="Ananya Das"/>
    <n v="31"/>
    <s v="Female"/>
    <x v="1"/>
    <s v="HR Executive"/>
    <n v="38000"/>
    <n v="4"/>
    <x v="1"/>
    <m/>
    <n v="4"/>
    <s v="Married"/>
    <s v="Good"/>
    <x v="0"/>
  </r>
  <r>
    <s v="E009"/>
    <s v="Suresh Kumar"/>
    <n v="45"/>
    <s v="Male"/>
    <x v="3"/>
    <s v="Finance Manager"/>
    <n v="80000"/>
    <n v="15"/>
    <x v="1"/>
    <m/>
    <n v="5"/>
    <s v="Married"/>
    <s v="Excellent"/>
    <x v="2"/>
  </r>
  <r>
    <s v="E010"/>
    <s v="Meena Iyer"/>
    <n v="27"/>
    <s v="Female"/>
    <x v="0"/>
    <s v="Sales Executive"/>
    <n v="30000"/>
    <n v="1"/>
    <x v="0"/>
    <s v="Low Salary"/>
    <n v="2"/>
    <s v="Single"/>
    <s v="Poor"/>
    <x v="0"/>
  </r>
  <r>
    <s v="E011"/>
    <s v="Rajesh Gupta"/>
    <n v="33"/>
    <s v="Male"/>
    <x v="2"/>
    <s v="Software Dev"/>
    <n v="45000"/>
    <n v="5"/>
    <x v="1"/>
    <m/>
    <n v="4"/>
    <s v="Married"/>
    <s v="Good"/>
    <x v="0"/>
  </r>
  <r>
    <s v="E012"/>
    <s v="Kavitha Menon"/>
    <n v="29"/>
    <s v="Female"/>
    <x v="4"/>
    <s v="Marketing Exec"/>
    <n v="36000"/>
    <n v="2"/>
    <x v="0"/>
    <s v="Better Opportunity"/>
    <n v="3"/>
    <s v="Single"/>
    <s v="Average"/>
    <x v="0"/>
  </r>
  <r>
    <s v="E013"/>
    <s v="Arun Nambiar"/>
    <n v="52"/>
    <s v="Male"/>
    <x v="3"/>
    <s v="CFO"/>
    <n v="120000"/>
    <n v="20"/>
    <x v="1"/>
    <m/>
    <n v="5"/>
    <s v="Married"/>
    <s v="Excellent"/>
    <x v="3"/>
  </r>
  <r>
    <s v="E014"/>
    <s v="Pooja Sharma"/>
    <n v="25"/>
    <s v="Female"/>
    <x v="0"/>
    <s v="Sales Executive"/>
    <n v="29000"/>
    <n v="1"/>
    <x v="0"/>
    <s v="Low Salary"/>
    <n v="2"/>
    <s v="Single"/>
    <s v="Poor"/>
    <x v="0"/>
  </r>
  <r>
    <s v="E015"/>
    <s v="Deepak Joshi"/>
    <n v="36"/>
    <s v="Male"/>
    <x v="2"/>
    <s v="Senior Dev"/>
    <n v="68000"/>
    <n v="8"/>
    <x v="1"/>
    <m/>
    <n v="5"/>
    <s v="Married"/>
    <s v="Good"/>
    <x v="2"/>
  </r>
  <r>
    <s v="E016"/>
    <s v="Lakshmi Nair"/>
    <n v="28"/>
    <s v="Female"/>
    <x v="1"/>
    <s v="HR Executive"/>
    <n v="37000"/>
    <n v="2"/>
    <x v="0"/>
    <s v="Work-Life Balance"/>
    <n v="3"/>
    <s v="Single"/>
    <s v="Poor"/>
    <x v="0"/>
  </r>
  <r>
    <s v="E017"/>
    <s v="Manoj Tiwari"/>
    <n v="41"/>
    <s v="Male"/>
    <x v="4"/>
    <s v="Marketing Manager"/>
    <n v="65000"/>
    <n v="10"/>
    <x v="1"/>
    <m/>
    <n v="4"/>
    <s v="Married"/>
    <s v="Good"/>
    <x v="2"/>
  </r>
  <r>
    <s v="E018"/>
    <s v="Ritu Agarwal"/>
    <n v="23"/>
    <s v="Female"/>
    <x v="0"/>
    <s v="Sales Executive"/>
    <n v="28000"/>
    <n v="1"/>
    <x v="0"/>
    <s v="Low Salary"/>
    <n v="2"/>
    <s v="Single"/>
    <s v="Poor"/>
    <x v="1"/>
  </r>
  <r>
    <s v="E019"/>
    <s v="Sanjay Patel"/>
    <n v="48"/>
    <s v="Male"/>
    <x v="3"/>
    <s v="Accountant"/>
    <n v="52000"/>
    <n v="12"/>
    <x v="1"/>
    <m/>
    <n v="4"/>
    <s v="Married"/>
    <s v="Good"/>
    <x v="3"/>
  </r>
  <r>
    <s v="E020"/>
    <s v="Nisha Reddy"/>
    <n v="30"/>
    <s v="Female"/>
    <x v="2"/>
    <s v="Software Dev"/>
    <n v="44000"/>
    <n v="3"/>
    <x v="1"/>
    <m/>
    <n v="4"/>
    <s v="Single"/>
    <s v="Average"/>
    <x v="0"/>
  </r>
  <r>
    <s v="E021"/>
    <s v="Arjun Kapoor"/>
    <n v="27"/>
    <s v="Male"/>
    <x v="0"/>
    <s v="Sales Executive"/>
    <n v="31000"/>
    <n v="2"/>
    <x v="0"/>
    <s v="Low Salary"/>
    <n v="2"/>
    <s v="Single"/>
    <s v="Poor"/>
    <x v="0"/>
  </r>
  <r>
    <s v="E022"/>
    <s v="Sunita Jain"/>
    <n v="34"/>
    <s v="Female"/>
    <x v="1"/>
    <s v="HR Manager"/>
    <n v="54000"/>
    <n v="6"/>
    <x v="1"/>
    <m/>
    <n v="4"/>
    <s v="Married"/>
    <s v="Good"/>
    <x v="0"/>
  </r>
  <r>
    <s v="E023"/>
    <s v="Vivek Sharma"/>
    <n v="25"/>
    <s v="Male"/>
    <x v="2"/>
    <s v="Software Dev"/>
    <n v="40000"/>
    <n v="1"/>
    <x v="0"/>
    <s v="Better Opportunity"/>
    <n v="3"/>
    <s v="Single"/>
    <s v="Poor"/>
    <x v="0"/>
  </r>
  <r>
    <s v="E024"/>
    <s v="Geeta Pillai"/>
    <n v="39"/>
    <s v="Female"/>
    <x v="3"/>
    <s v="Accountant"/>
    <n v="49000"/>
    <n v="8"/>
    <x v="1"/>
    <m/>
    <n v="5"/>
    <s v="Married"/>
    <s v="Excellent"/>
    <x v="2"/>
  </r>
  <r>
    <s v="E025"/>
    <s v="Rohit Verma"/>
    <n v="28"/>
    <s v="Male"/>
    <x v="4"/>
    <s v="Marketing Exec"/>
    <n v="34000"/>
    <n v="2"/>
    <x v="0"/>
    <s v="Work-Life Balance"/>
    <n v="2"/>
    <s v="Single"/>
    <s v="Poor"/>
    <x v="0"/>
  </r>
  <r>
    <s v="E026"/>
    <s v="Anita Desai"/>
    <n v="44"/>
    <s v="Female"/>
    <x v="2"/>
    <s v="Team Lead"/>
    <n v="74000"/>
    <n v="11"/>
    <x v="1"/>
    <m/>
    <n v="5"/>
    <s v="Married"/>
    <s v="Good"/>
    <x v="2"/>
  </r>
  <r>
    <s v="E027"/>
    <s v="Sunil Rao"/>
    <n v="26"/>
    <s v="Male"/>
    <x v="0"/>
    <s v="Sales Executive"/>
    <n v="30000"/>
    <n v="1"/>
    <x v="0"/>
    <s v="Low Salary"/>
    <n v="2"/>
    <s v="Single"/>
    <s v="Poor"/>
    <x v="0"/>
  </r>
  <r>
    <s v="E028"/>
    <s v="Rekha Nair"/>
    <n v="37"/>
    <s v="Female"/>
    <x v="1"/>
    <s v="HR Executive"/>
    <n v="39000"/>
    <n v="5"/>
    <x v="1"/>
    <m/>
    <n v="4"/>
    <s v="Married"/>
    <s v="Good"/>
    <x v="2"/>
  </r>
  <r>
    <s v="E029"/>
    <s v="Prakash Iyer"/>
    <n v="50"/>
    <s v="Male"/>
    <x v="3"/>
    <s v="Finance Manager"/>
    <n v="82000"/>
    <n v="16"/>
    <x v="1"/>
    <m/>
    <n v="5"/>
    <s v="Married"/>
    <s v="Excellent"/>
    <x v="3"/>
  </r>
  <r>
    <s v="E030"/>
    <s v="Swati Gupta"/>
    <n v="24"/>
    <s v="Female"/>
    <x v="0"/>
    <s v="Sales Executive"/>
    <n v="29000"/>
    <n v="1"/>
    <x v="0"/>
    <s v="Low Salary"/>
    <n v="2"/>
    <s v="Single"/>
    <s v="Poor"/>
    <x v="1"/>
  </r>
  <r>
    <s v="E031"/>
    <s v="Nikhil Joshi"/>
    <n v="32"/>
    <s v="Male"/>
    <x v="2"/>
    <s v="Senior Dev"/>
    <n v="66000"/>
    <n v="6"/>
    <x v="1"/>
    <m/>
    <n v="4"/>
    <s v="Married"/>
    <s v="Good"/>
    <x v="0"/>
  </r>
  <r>
    <s v="E032"/>
    <s v="Pallavi Menon"/>
    <n v="28"/>
    <s v="Female"/>
    <x v="4"/>
    <s v="Marketing Exec"/>
    <n v="35000"/>
    <n v="2"/>
    <x v="0"/>
    <s v="Work-Life Balance"/>
    <n v="3"/>
    <s v="Single"/>
    <s v="Poor"/>
    <x v="0"/>
  </r>
  <r>
    <s v="E033"/>
    <s v="Dinesh Kumar"/>
    <n v="55"/>
    <s v="Male"/>
    <x v="3"/>
    <s v="CFO"/>
    <n v="125000"/>
    <n v="22"/>
    <x v="1"/>
    <m/>
    <n v="5"/>
    <s v="Married"/>
    <s v="Excellent"/>
    <x v="3"/>
  </r>
  <r>
    <s v="E034"/>
    <s v="Anjali Singh"/>
    <n v="26"/>
    <s v="Female"/>
    <x v="0"/>
    <s v="Sales Executive"/>
    <n v="30000"/>
    <n v="1"/>
    <x v="0"/>
    <s v="Low Salary"/>
    <n v="2"/>
    <s v="Single"/>
    <s v="Poor"/>
    <x v="0"/>
  </r>
  <r>
    <s v="E035"/>
    <s v="Rajiv Sharma"/>
    <n v="40"/>
    <s v="Male"/>
    <x v="2"/>
    <s v="IT Manager"/>
    <n v="88000"/>
    <n v="12"/>
    <x v="1"/>
    <m/>
    <n v="5"/>
    <s v="Married"/>
    <s v="Good"/>
    <x v="2"/>
  </r>
  <r>
    <s v="E036"/>
    <s v="Hema Rao"/>
    <n v="29"/>
    <s v="Female"/>
    <x v="1"/>
    <s v="HR Executive"/>
    <n v="38000"/>
    <n v="3"/>
    <x v="0"/>
    <s v="Better Opportunity"/>
    <n v="3"/>
    <s v="Single"/>
    <s v="Average"/>
    <x v="0"/>
  </r>
  <r>
    <s v="E037"/>
    <s v="Ashok Tiwari"/>
    <n v="46"/>
    <s v="Male"/>
    <x v="4"/>
    <s v="Marketing Manager"/>
    <n v="67000"/>
    <n v="11"/>
    <x v="1"/>
    <m/>
    <n v="4"/>
    <s v="Married"/>
    <s v="Good"/>
    <x v="3"/>
  </r>
  <r>
    <s v="E038"/>
    <s v="Deepa Agarwal"/>
    <n v="24"/>
    <s v="Female"/>
    <x v="0"/>
    <s v="Sales Executive"/>
    <n v="28000"/>
    <n v="1"/>
    <x v="0"/>
    <s v="Low Salary"/>
    <n v="2"/>
    <s v="Single"/>
    <s v="Poor"/>
    <x v="1"/>
  </r>
  <r>
    <s v="E039"/>
    <s v="Vinod Patel"/>
    <n v="43"/>
    <s v="Male"/>
    <x v="3"/>
    <s v="Accountant"/>
    <n v="51000"/>
    <n v="10"/>
    <x v="1"/>
    <m/>
    <n v="4"/>
    <s v="Married"/>
    <s v="Good"/>
    <x v="2"/>
  </r>
  <r>
    <s v="E040"/>
    <s v="Shilpa Reddy"/>
    <n v="31"/>
    <s v="Female"/>
    <x v="2"/>
    <s v="Software Dev"/>
    <n v="43000"/>
    <n v="4"/>
    <x v="1"/>
    <m/>
    <n v="4"/>
    <s v="Married"/>
    <s v="Average"/>
    <x v="0"/>
  </r>
  <r>
    <s v="E041"/>
    <s v="Aditya Kapoor"/>
    <n v="25"/>
    <s v="Male"/>
    <x v="0"/>
    <s v="Sales Executive"/>
    <n v="31000"/>
    <n v="1"/>
    <x v="0"/>
    <s v="Low Salary"/>
    <n v="2"/>
    <s v="Single"/>
    <s v="Poor"/>
    <x v="0"/>
  </r>
  <r>
    <s v="E042"/>
    <s v="Kavya Jain"/>
    <n v="36"/>
    <s v="Female"/>
    <x v="1"/>
    <s v="HR Manager"/>
    <n v="56000"/>
    <n v="8"/>
    <x v="1"/>
    <m/>
    <n v="4"/>
    <s v="Married"/>
    <s v="Good"/>
    <x v="2"/>
  </r>
  <r>
    <s v="E043"/>
    <s v="Sameer Sharma"/>
    <n v="27"/>
    <s v="Male"/>
    <x v="2"/>
    <s v="Software Dev"/>
    <n v="41000"/>
    <n v="2"/>
    <x v="0"/>
    <s v="Better Opportunity"/>
    <n v="3"/>
    <s v="Single"/>
    <s v="Poor"/>
    <x v="0"/>
  </r>
  <r>
    <s v="E044"/>
    <s v="Usha Pillai"/>
    <n v="41"/>
    <s v="Female"/>
    <x v="3"/>
    <s v="Accountant"/>
    <n v="50000"/>
    <n v="9"/>
    <x v="1"/>
    <m/>
    <n v="5"/>
    <s v="Married"/>
    <s v="Excellent"/>
    <x v="2"/>
  </r>
  <r>
    <s v="E045"/>
    <s v="Gaurav Verma"/>
    <n v="29"/>
    <s v="Male"/>
    <x v="4"/>
    <s v="Marketing Exec"/>
    <n v="34000"/>
    <n v="2"/>
    <x v="0"/>
    <s v="Work-Life Balance"/>
    <n v="2"/>
    <s v="Single"/>
    <s v="Poor"/>
    <x v="0"/>
  </r>
  <r>
    <s v="E046"/>
    <s v="Meera Nair"/>
    <n v="47"/>
    <s v="Female"/>
    <x v="2"/>
    <s v="Team Lead"/>
    <n v="76000"/>
    <n v="13"/>
    <x v="1"/>
    <m/>
    <n v="5"/>
    <s v="Married"/>
    <s v="Good"/>
    <x v="3"/>
  </r>
  <r>
    <s v="E047"/>
    <s v="Harish Rao"/>
    <n v="26"/>
    <s v="Male"/>
    <x v="0"/>
    <s v="Sales Executive"/>
    <n v="29000"/>
    <n v="1"/>
    <x v="0"/>
    <s v="Low Salary"/>
    <n v="2"/>
    <s v="Single"/>
    <s v="Poor"/>
    <x v="0"/>
  </r>
  <r>
    <s v="E048"/>
    <s v="Sindhu Iyer"/>
    <n v="38"/>
    <s v="Female"/>
    <x v="1"/>
    <s v="HR Executive"/>
    <n v="40000"/>
    <n v="6"/>
    <x v="1"/>
    <m/>
    <n v="4"/>
    <s v="Married"/>
    <s v="Good"/>
    <x v="2"/>
  </r>
  <r>
    <s v="E049"/>
    <s v="Ramesh Gupta"/>
    <n v="53"/>
    <s v="Male"/>
    <x v="3"/>
    <s v="Finance Manager"/>
    <n v="85000"/>
    <n v="18"/>
    <x v="1"/>
    <m/>
    <n v="5"/>
    <s v="Married"/>
    <s v="Excellent"/>
    <x v="3"/>
  </r>
  <r>
    <s v="E050"/>
    <s v="Bhavana Joshi"/>
    <n v="23"/>
    <s v="Female"/>
    <x v="0"/>
    <s v="Sales Executive"/>
    <n v="28000"/>
    <n v="1"/>
    <x v="0"/>
    <s v="Low Salary"/>
    <n v="2"/>
    <s v="Single"/>
    <s v="Poor"/>
    <x v="1"/>
  </r>
  <r>
    <s v="E051"/>
    <s v="Tushar Menon"/>
    <n v="34"/>
    <s v="Male"/>
    <x v="2"/>
    <s v="Senior Dev"/>
    <n v="67000"/>
    <n v="7"/>
    <x v="1"/>
    <m/>
    <n v="5"/>
    <s v="Married"/>
    <s v="Good"/>
    <x v="0"/>
  </r>
  <r>
    <s v="E052"/>
    <s v="Preethi Singh"/>
    <n v="27"/>
    <s v="Female"/>
    <x v="4"/>
    <s v="Marketing Exec"/>
    <n v="35000"/>
    <n v="2"/>
    <x v="0"/>
    <s v="Work-Life Balance"/>
    <n v="3"/>
    <s v="Single"/>
    <s v="Poor"/>
    <x v="0"/>
  </r>
  <r>
    <s v="E053"/>
    <s v="Balaji Kumar"/>
    <n v="58"/>
    <s v="Male"/>
    <x v="3"/>
    <s v="CFO"/>
    <n v="130000"/>
    <n v="25"/>
    <x v="1"/>
    <m/>
    <n v="5"/>
    <s v="Married"/>
    <s v="Excellent"/>
    <x v="3"/>
  </r>
  <r>
    <s v="E054"/>
    <s v="Nandini Sharma"/>
    <n v="25"/>
    <s v="Female"/>
    <x v="0"/>
    <s v="Sales Executive"/>
    <n v="30000"/>
    <n v="1"/>
    <x v="0"/>
    <s v="Low Salary"/>
    <n v="2"/>
    <s v="Single"/>
    <s v="Poor"/>
    <x v="0"/>
  </r>
  <r>
    <s v="E055"/>
    <s v="Suresh Tiwari"/>
    <n v="39"/>
    <s v="Male"/>
    <x v="2"/>
    <s v="IT Manager"/>
    <n v="90000"/>
    <n v="11"/>
    <x v="1"/>
    <m/>
    <n v="5"/>
    <s v="Married"/>
    <s v="Good"/>
    <x v="2"/>
  </r>
  <r>
    <s v="E056"/>
    <s v="Geetha Agarwal"/>
    <n v="30"/>
    <s v="Female"/>
    <x v="1"/>
    <s v="HR Executive"/>
    <n v="37000"/>
    <n v="3"/>
    <x v="0"/>
    <s v="Better Opportunity"/>
    <n v="3"/>
    <s v="Single"/>
    <s v="Average"/>
    <x v="0"/>
  </r>
  <r>
    <s v="E057"/>
    <s v="Mohan Patel"/>
    <n v="44"/>
    <s v="Male"/>
    <x v="4"/>
    <s v="Marketing Manager"/>
    <n v="68000"/>
    <n v="12"/>
    <x v="1"/>
    <m/>
    <n v="4"/>
    <s v="Married"/>
    <s v="Good"/>
    <x v="2"/>
  </r>
  <r>
    <s v="E058"/>
    <s v="Saranya Reddy"/>
    <n v="24"/>
    <s v="Female"/>
    <x v="0"/>
    <s v="Sales Executive"/>
    <n v="29000"/>
    <n v="1"/>
    <x v="0"/>
    <s v="Low Salary"/>
    <n v="2"/>
    <s v="Single"/>
    <s v="Poor"/>
    <x v="1"/>
  </r>
  <r>
    <s v="E059"/>
    <s v="Girish Kapoor"/>
    <n v="49"/>
    <s v="Male"/>
    <x v="3"/>
    <s v="Accountant"/>
    <n v="53000"/>
    <n v="14"/>
    <x v="1"/>
    <m/>
    <n v="4"/>
    <s v="Married"/>
    <s v="Good"/>
    <x v="3"/>
  </r>
  <r>
    <s v="E060"/>
    <s v="Archana Jain"/>
    <n v="32"/>
    <s v="Female"/>
    <x v="2"/>
    <s v="Software Dev"/>
    <n v="44000"/>
    <n v="4"/>
    <x v="1"/>
    <m/>
    <n v="4"/>
    <s v="Married"/>
    <s v="Average"/>
    <x v="0"/>
  </r>
  <r>
    <s v="E061"/>
    <s v="Naveen Sharma"/>
    <n v="26"/>
    <s v="Male"/>
    <x v="0"/>
    <s v="Sales Executive"/>
    <n v="30000"/>
    <n v="1"/>
    <x v="0"/>
    <s v="Low Salary"/>
    <n v="2"/>
    <s v="Single"/>
    <s v="Poor"/>
    <x v="0"/>
  </r>
  <r>
    <s v="E062"/>
    <s v="Revathi Nair"/>
    <n v="35"/>
    <s v="Female"/>
    <x v="1"/>
    <s v="HR Manager"/>
    <n v="57000"/>
    <n v="7"/>
    <x v="1"/>
    <m/>
    <n v="4"/>
    <s v="Married"/>
    <s v="Good"/>
    <x v="0"/>
  </r>
  <r>
    <s v="E063"/>
    <s v="Prasad Verma"/>
    <n v="28"/>
    <s v="Male"/>
    <x v="2"/>
    <s v="Software Dev"/>
    <n v="42000"/>
    <n v="2"/>
    <x v="0"/>
    <s v="Better Opportunity"/>
    <n v="3"/>
    <s v="Single"/>
    <s v="Poor"/>
    <x v="0"/>
  </r>
  <r>
    <s v="E064"/>
    <s v="Lalitha Pillai"/>
    <n v="43"/>
    <s v="Female"/>
    <x v="3"/>
    <s v="Accountant"/>
    <n v="51000"/>
    <n v="10"/>
    <x v="1"/>
    <m/>
    <n v="5"/>
    <s v="Married"/>
    <s v="Excellent"/>
    <x v="2"/>
  </r>
  <r>
    <s v="E065"/>
    <s v="Shankar Rao"/>
    <n v="27"/>
    <s v="Male"/>
    <x v="4"/>
    <s v="Marketing Exec"/>
    <n v="33000"/>
    <n v="2"/>
    <x v="0"/>
    <s v="Work-Life Balance"/>
    <n v="2"/>
    <s v="Single"/>
    <s v="Poor"/>
    <x v="0"/>
  </r>
  <r>
    <s v="E066"/>
    <s v="Padma Iyer"/>
    <n v="48"/>
    <s v="Female"/>
    <x v="2"/>
    <s v="Team Lead"/>
    <n v="77000"/>
    <n v="14"/>
    <x v="1"/>
    <m/>
    <n v="5"/>
    <s v="Married"/>
    <s v="Good"/>
    <x v="3"/>
  </r>
  <r>
    <s v="E067"/>
    <s v="Venkat Gupta"/>
    <n v="25"/>
    <s v="Male"/>
    <x v="0"/>
    <s v="Sales Executive"/>
    <n v="28000"/>
    <n v="1"/>
    <x v="0"/>
    <s v="Low Salary"/>
    <n v="2"/>
    <s v="Single"/>
    <s v="Poor"/>
    <x v="0"/>
  </r>
  <r>
    <s v="E068"/>
    <s v="Indira Joshi"/>
    <n v="40"/>
    <s v="Female"/>
    <x v="1"/>
    <s v="HR Executive"/>
    <n v="41000"/>
    <n v="7"/>
    <x v="1"/>
    <m/>
    <n v="4"/>
    <s v="Married"/>
    <s v="Good"/>
    <x v="2"/>
  </r>
  <r>
    <s v="E069"/>
    <s v="Rajan Menon"/>
    <n v="54"/>
    <s v="Male"/>
    <x v="3"/>
    <s v="Finance Manager"/>
    <n v="86000"/>
    <n v="19"/>
    <x v="1"/>
    <m/>
    <n v="5"/>
    <s v="Married"/>
    <s v="Excellent"/>
    <x v="3"/>
  </r>
  <r>
    <s v="E070"/>
    <s v="Chitra Singh"/>
    <n v="23"/>
    <s v="Female"/>
    <x v="0"/>
    <s v="Sales Executive"/>
    <n v="27000"/>
    <n v="1"/>
    <x v="0"/>
    <s v="Low Salary"/>
    <n v="2"/>
    <s v="Single"/>
    <s v="Poor"/>
    <x v="1"/>
  </r>
  <r>
    <s v="E071"/>
    <s v="Kartik Kumar"/>
    <n v="33"/>
    <s v="Male"/>
    <x v="2"/>
    <s v="Senior Dev"/>
    <n v="65000"/>
    <n v="6"/>
    <x v="1"/>
    <m/>
    <n v="4"/>
    <s v="Married"/>
    <s v="Good"/>
    <x v="0"/>
  </r>
  <r>
    <s v="E072"/>
    <s v="Mythili Sharma"/>
    <n v="28"/>
    <s v="Female"/>
    <x v="4"/>
    <s v="Marketing Exec"/>
    <n v="36000"/>
    <n v="2"/>
    <x v="0"/>
    <s v="Work-Life Balance"/>
    <n v="3"/>
    <s v="Single"/>
    <s v="Poor"/>
    <x v="0"/>
  </r>
  <r>
    <s v="E073"/>
    <s v="Bhaskar Tiwari"/>
    <n v="57"/>
    <s v="Male"/>
    <x v="3"/>
    <s v="CFO"/>
    <n v="128000"/>
    <n v="24"/>
    <x v="1"/>
    <m/>
    <n v="5"/>
    <s v="Married"/>
    <s v="Excellent"/>
    <x v="3"/>
  </r>
  <r>
    <s v="E074"/>
    <s v="Savitha Agarwal"/>
    <n v="26"/>
    <s v="Female"/>
    <x v="0"/>
    <s v="Sales Executive"/>
    <n v="29000"/>
    <n v="1"/>
    <x v="0"/>
    <s v="Low Salary"/>
    <n v="2"/>
    <s v="Single"/>
    <s v="Poor"/>
    <x v="0"/>
  </r>
  <r>
    <s v="E075"/>
    <s v="Harsha Patel"/>
    <n v="38"/>
    <s v="Male"/>
    <x v="2"/>
    <s v="IT Manager"/>
    <n v="89000"/>
    <n v="10"/>
    <x v="1"/>
    <m/>
    <n v="5"/>
    <s v="Married"/>
    <s v="Good"/>
    <x v="2"/>
  </r>
  <r>
    <s v="E076"/>
    <s v="Nalini Reddy"/>
    <n v="29"/>
    <s v="Female"/>
    <x v="1"/>
    <s v="HR Executive"/>
    <n v="38000"/>
    <n v="3"/>
    <x v="0"/>
    <s v="Better Opportunity"/>
    <n v="3"/>
    <s v="Single"/>
    <s v="Average"/>
    <x v="0"/>
  </r>
  <r>
    <s v="E077"/>
    <s v="Sudhir Kapoor"/>
    <n v="45"/>
    <s v="Male"/>
    <x v="4"/>
    <s v="Marketing Manager"/>
    <n v="66000"/>
    <n v="11"/>
    <x v="1"/>
    <m/>
    <n v="4"/>
    <s v="Married"/>
    <s v="Good"/>
    <x v="2"/>
  </r>
  <r>
    <s v="E078"/>
    <s v="Vasantha Jain"/>
    <n v="24"/>
    <s v="Female"/>
    <x v="0"/>
    <s v="Sales Executive"/>
    <n v="28000"/>
    <n v="1"/>
    <x v="0"/>
    <s v="Low Salary"/>
    <n v="2"/>
    <s v="Single"/>
    <s v="Poor"/>
    <x v="1"/>
  </r>
  <r>
    <s v="E079"/>
    <s v="Gopal Sharma"/>
    <n v="51"/>
    <s v="Male"/>
    <x v="3"/>
    <s v="Accountant"/>
    <n v="54000"/>
    <n v="15"/>
    <x v="1"/>
    <m/>
    <n v="4"/>
    <s v="Married"/>
    <s v="Good"/>
    <x v="3"/>
  </r>
  <r>
    <s v="E080"/>
    <s v="Shanthi Nair"/>
    <n v="31"/>
    <s v="Female"/>
    <x v="2"/>
    <s v="Software Dev"/>
    <n v="43000"/>
    <n v="4"/>
    <x v="1"/>
    <m/>
    <n v="4"/>
    <s v="Married"/>
    <s v="Average"/>
    <x v="0"/>
  </r>
  <r>
    <s v="E081"/>
    <s v="Suresh Verma"/>
    <n v="27"/>
    <s v="Male"/>
    <x v="0"/>
    <s v="Sales Executive"/>
    <n v="31000"/>
    <n v="2"/>
    <x v="0"/>
    <s v="Low Salary"/>
    <n v="2"/>
    <s v="Single"/>
    <s v="Poor"/>
    <x v="0"/>
  </r>
  <r>
    <s v="E082"/>
    <s v="Kamala Rao"/>
    <n v="36"/>
    <s v="Female"/>
    <x v="3"/>
    <s v="Accountant"/>
    <n v="49000"/>
    <n v="6"/>
    <x v="1"/>
    <m/>
    <n v="4"/>
    <s v="Married"/>
    <s v="Good"/>
    <x v="2"/>
  </r>
  <r>
    <s v="E083"/>
    <s v="Ravi Iyer"/>
    <n v="25"/>
    <s v="Male"/>
    <x v="2"/>
    <s v="Software Dev"/>
    <n v="39000"/>
    <n v="1"/>
    <x v="0"/>
    <s v="Better Opportunity"/>
    <n v="3"/>
    <s v="Single"/>
    <s v="Poor"/>
    <x v="0"/>
  </r>
  <r>
    <s v="E084"/>
    <s v="Meenakshi Gupta"/>
    <n v="33"/>
    <s v="Female"/>
    <x v="1"/>
    <s v="HR Executive"/>
    <n v="38000"/>
    <n v="4"/>
    <x v="1"/>
    <m/>
    <n v="4"/>
    <s v="Married"/>
    <s v="Good"/>
    <x v="0"/>
  </r>
  <r>
    <s v="E085"/>
    <s v="Sridhar Joshi"/>
    <n v="30"/>
    <s v="Male"/>
    <x v="4"/>
    <s v="Marketing Exec"/>
    <n v="34000"/>
    <n v="3"/>
    <x v="0"/>
    <s v="Work-Life Balance"/>
    <n v="2"/>
    <s v="Single"/>
    <s v="Poor"/>
    <x v="0"/>
  </r>
  <r>
    <s v="E086"/>
    <s v="Vimala Menon"/>
    <n v="43"/>
    <s v="Female"/>
    <x v="2"/>
    <s v="Team Lead"/>
    <n v="73000"/>
    <n v="10"/>
    <x v="1"/>
    <m/>
    <n v="5"/>
    <s v="Married"/>
    <s v="Good"/>
    <x v="2"/>
  </r>
  <r>
    <s v="E087"/>
    <s v="Anand Singh"/>
    <n v="26"/>
    <s v="Male"/>
    <x v="0"/>
    <s v="Sales Executive"/>
    <n v="30000"/>
    <n v="1"/>
    <x v="0"/>
    <s v="Low Salary"/>
    <n v="2"/>
    <s v="Single"/>
    <s v="Poor"/>
    <x v="0"/>
  </r>
  <r>
    <s v="E088"/>
    <s v="Saroja Kumar"/>
    <n v="39"/>
    <s v="Female"/>
    <x v="1"/>
    <s v="HR Manager"/>
    <n v="55000"/>
    <n v="8"/>
    <x v="1"/>
    <m/>
    <n v="4"/>
    <s v="Married"/>
    <s v="Good"/>
    <x v="2"/>
  </r>
  <r>
    <s v="E089"/>
    <s v="Murali Sharma"/>
    <n v="50"/>
    <s v="Male"/>
    <x v="3"/>
    <s v="Accountant"/>
    <n v="50000"/>
    <n v="7"/>
    <x v="1"/>
    <m/>
    <n v="4"/>
    <s v="Married"/>
    <s v="Good"/>
    <x v="3"/>
  </r>
  <r>
    <s v="E090"/>
    <s v="Bhanu Tiwari"/>
    <n v="24"/>
    <s v="Female"/>
    <x v="0"/>
    <s v="Sales Executive"/>
    <n v="27000"/>
    <n v="1"/>
    <x v="0"/>
    <s v="Low Salary"/>
    <n v="2"/>
    <s v="Single"/>
    <s v="Poor"/>
    <x v="1"/>
  </r>
  <r>
    <s v="E091"/>
    <s v="Ganesh Agarwal"/>
    <n v="35"/>
    <s v="Male"/>
    <x v="2"/>
    <s v="Senior Dev"/>
    <n v="64000"/>
    <n v="7"/>
    <x v="1"/>
    <m/>
    <n v="4"/>
    <s v="Married"/>
    <s v="Good"/>
    <x v="0"/>
  </r>
  <r>
    <s v="E092"/>
    <s v="Radha Patel"/>
    <n v="27"/>
    <s v="Female"/>
    <x v="4"/>
    <s v="Marketing Exec"/>
    <n v="35000"/>
    <n v="2"/>
    <x v="0"/>
    <s v="Work-Life Balance"/>
    <n v="3"/>
    <s v="Single"/>
    <s v="Poor"/>
    <x v="0"/>
  </r>
  <r>
    <s v="E093"/>
    <s v="Natarajan Reddy"/>
    <n v="56"/>
    <s v="Male"/>
    <x v="3"/>
    <s v="CFO"/>
    <n v="127000"/>
    <n v="23"/>
    <x v="1"/>
    <m/>
    <n v="5"/>
    <s v="Married"/>
    <s v="Excellent"/>
    <x v="3"/>
  </r>
  <r>
    <s v="E094"/>
    <s v="Bhavani Kapoor"/>
    <n v="25"/>
    <s v="Female"/>
    <x v="0"/>
    <s v="Sales Executive"/>
    <n v="29000"/>
    <n v="1"/>
    <x v="0"/>
    <s v="Low Salary"/>
    <n v="2"/>
    <s v="Single"/>
    <s v="Poor"/>
    <x v="0"/>
  </r>
  <r>
    <s v="E095"/>
    <s v="Selvam Jain"/>
    <n v="42"/>
    <s v="Male"/>
    <x v="2"/>
    <s v="IT Manager"/>
    <n v="87000"/>
    <n v="11"/>
    <x v="1"/>
    <m/>
    <n v="5"/>
    <s v="Married"/>
    <s v="Good"/>
    <x v="2"/>
  </r>
  <r>
    <s v="E096"/>
    <s v="Kumari Sharma"/>
    <n v="28"/>
    <s v="Female"/>
    <x v="1"/>
    <s v="HR Executive"/>
    <n v="37000"/>
    <n v="2"/>
    <x v="0"/>
    <s v="Better Opportunity"/>
    <n v="3"/>
    <s v="Single"/>
    <s v="Average"/>
    <x v="0"/>
  </r>
  <r>
    <s v="E097"/>
    <s v="Muthukumar Nair"/>
    <n v="47"/>
    <s v="Male"/>
    <x v="4"/>
    <s v="Marketing Manager"/>
    <n v="67000"/>
    <n v="13"/>
    <x v="1"/>
    <m/>
    <n v="4"/>
    <s v="Married"/>
    <s v="Good"/>
    <x v="3"/>
  </r>
  <r>
    <s v="E098"/>
    <s v="Padmavathi Verma"/>
    <n v="23"/>
    <s v="Female"/>
    <x v="0"/>
    <s v="Sales Executive"/>
    <n v="27000"/>
    <n v="1"/>
    <x v="0"/>
    <s v="Low Salary"/>
    <n v="2"/>
    <s v="Single"/>
    <s v="Poor"/>
    <x v="1"/>
  </r>
  <r>
    <s v="E099"/>
    <s v="Krishnamurthy Rao"/>
    <n v="60"/>
    <s v="Male"/>
    <x v="3"/>
    <s v="Finance Manager"/>
    <n v="88000"/>
    <n v="20"/>
    <x v="1"/>
    <m/>
    <n v="5"/>
    <s v="Married"/>
    <s v="Excellent"/>
    <x v="3"/>
  </r>
  <r>
    <s v="E100"/>
    <s v="Jayalakshmi Iyer"/>
    <n v="31"/>
    <s v="Female"/>
    <x v="2"/>
    <s v="Software Dev"/>
    <n v="44000"/>
    <n v="4"/>
    <x v="1"/>
    <m/>
    <n v="4"/>
    <s v="Married"/>
    <s v="Averag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79971-AEF6-4D82-A426-73C8E49559BD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A3:D9" firstHeaderRow="1" firstDataRow="2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1"/>
        <item x="3"/>
        <item x="2"/>
        <item x="0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Emp ID" fld="0" subtotal="count" baseField="0" baseItem="0"/>
  </dataFields>
  <formats count="10">
    <format dxfId="89">
      <pivotArea type="all" dataOnly="0" outline="0" fieldPosition="0"/>
    </format>
    <format dxfId="88">
      <pivotArea outline="0" collapsedLevelsAreSubtotals="1" fieldPosition="0"/>
    </format>
    <format dxfId="87">
      <pivotArea type="origin" dataOnly="0" labelOnly="1" outline="0" fieldPosition="0"/>
    </format>
    <format dxfId="86">
      <pivotArea field="8" type="button" dataOnly="0" labelOnly="1" outline="0" axis="axisCol" fieldPosition="0"/>
    </format>
    <format dxfId="85">
      <pivotArea type="topRight" dataOnly="0" labelOnly="1" outline="0" fieldPosition="0"/>
    </format>
    <format dxfId="84">
      <pivotArea field="13" type="button" dataOnly="0" labelOnly="1" outline="0" axis="axisRow" fieldPosition="0"/>
    </format>
    <format dxfId="83">
      <pivotArea dataOnly="0" labelOnly="1" fieldPosition="0">
        <references count="1">
          <reference field="13" count="0"/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8" count="0"/>
        </references>
      </pivotArea>
    </format>
    <format dxfId="8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61A16-1FE9-4641-ACEF-FAA8F9119D23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D10" firstHeaderRow="1" firstDataRow="2" firstDataCol="1"/>
  <pivotFields count="14">
    <pivotField dataField="1" showAll="0"/>
    <pivotField showAll="0"/>
    <pivotField showAll="0"/>
    <pivotField showAll="0"/>
    <pivotField axis="axisRow" showAll="0">
      <items count="7">
        <item m="1" x="5"/>
        <item x="3"/>
        <item x="1"/>
        <item x="2"/>
        <item x="4"/>
        <item x="0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Emp ID" fld="0" subtotal="count" baseField="0" baseItem="0"/>
  </dataFields>
  <formats count="10"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8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4" type="button" dataOnly="0" labelOnly="1" outline="0" axis="axisRow" fieldPosition="0"/>
    </format>
    <format dxfId="93">
      <pivotArea dataOnly="0" labelOnly="1" fieldPosition="0">
        <references count="1">
          <reference field="4" count="0"/>
        </references>
      </pivotArea>
    </format>
    <format dxfId="92">
      <pivotArea dataOnly="0" labelOnly="1" grandRow="1" outline="0" fieldPosition="0"/>
    </format>
    <format dxfId="91">
      <pivotArea dataOnly="0" labelOnly="1" fieldPosition="0">
        <references count="1">
          <reference field="8" count="0"/>
        </references>
      </pivotArea>
    </format>
    <format dxfId="9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AFD2-F1B4-4B6E-A40D-1EBF5A6DC053}">
  <dimension ref="A3:D9"/>
  <sheetViews>
    <sheetView workbookViewId="0">
      <selection activeCell="E9" sqref="E9"/>
    </sheetView>
  </sheetViews>
  <sheetFormatPr defaultRowHeight="14.4" x14ac:dyDescent="0.3"/>
  <cols>
    <col min="1" max="1" width="14.88671875" bestFit="1" customWidth="1"/>
    <col min="2" max="2" width="17.77734375" bestFit="1" customWidth="1"/>
    <col min="3" max="3" width="3.77734375" bestFit="1" customWidth="1"/>
    <col min="4" max="4" width="10.77734375" bestFit="1" customWidth="1"/>
  </cols>
  <sheetData>
    <row r="3" spans="1:4" x14ac:dyDescent="0.3">
      <c r="A3" s="4" t="s">
        <v>245</v>
      </c>
      <c r="B3" s="4" t="s">
        <v>244</v>
      </c>
      <c r="C3" s="5"/>
      <c r="D3" s="5"/>
    </row>
    <row r="4" spans="1:4" x14ac:dyDescent="0.3">
      <c r="A4" s="4" t="s">
        <v>250</v>
      </c>
      <c r="B4" s="5" t="s">
        <v>27</v>
      </c>
      <c r="C4" s="5" t="s">
        <v>18</v>
      </c>
      <c r="D4" s="5" t="s">
        <v>243</v>
      </c>
    </row>
    <row r="5" spans="1:4" x14ac:dyDescent="0.3">
      <c r="A5" s="5" t="s">
        <v>249</v>
      </c>
      <c r="B5" s="6"/>
      <c r="C5" s="6">
        <v>10</v>
      </c>
      <c r="D5" s="6">
        <v>10</v>
      </c>
    </row>
    <row r="6" spans="1:4" x14ac:dyDescent="0.3">
      <c r="A6" s="5" t="s">
        <v>248</v>
      </c>
      <c r="B6" s="6">
        <v>17</v>
      </c>
      <c r="C6" s="6"/>
      <c r="D6" s="6">
        <v>17</v>
      </c>
    </row>
    <row r="7" spans="1:4" x14ac:dyDescent="0.3">
      <c r="A7" s="5" t="s">
        <v>247</v>
      </c>
      <c r="B7" s="6">
        <v>23</v>
      </c>
      <c r="C7" s="6"/>
      <c r="D7" s="6">
        <v>23</v>
      </c>
    </row>
    <row r="8" spans="1:4" x14ac:dyDescent="0.3">
      <c r="A8" s="5" t="s">
        <v>246</v>
      </c>
      <c r="B8" s="6">
        <v>15</v>
      </c>
      <c r="C8" s="6">
        <v>35</v>
      </c>
      <c r="D8" s="6">
        <v>50</v>
      </c>
    </row>
    <row r="9" spans="1:4" x14ac:dyDescent="0.3">
      <c r="A9" s="5" t="s">
        <v>243</v>
      </c>
      <c r="B9" s="6">
        <v>55</v>
      </c>
      <c r="C9" s="6">
        <v>45</v>
      </c>
      <c r="D9" s="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5C6D-53D8-4AC4-84CF-E605457F6EA4}">
  <dimension ref="A3:F10"/>
  <sheetViews>
    <sheetView tabSelected="1" workbookViewId="0">
      <selection activeCell="D3" sqref="D3"/>
    </sheetView>
  </sheetViews>
  <sheetFormatPr defaultRowHeight="14.4" x14ac:dyDescent="0.3"/>
  <cols>
    <col min="1" max="1" width="15.5546875" bestFit="1" customWidth="1"/>
    <col min="2" max="2" width="17.77734375" bestFit="1" customWidth="1"/>
    <col min="3" max="3" width="3.77734375" bestFit="1" customWidth="1"/>
    <col min="4" max="4" width="10.77734375" bestFit="1" customWidth="1"/>
  </cols>
  <sheetData>
    <row r="3" spans="1:6" x14ac:dyDescent="0.3">
      <c r="A3" s="4" t="s">
        <v>245</v>
      </c>
      <c r="B3" s="4" t="s">
        <v>244</v>
      </c>
      <c r="C3" s="5"/>
      <c r="D3" s="5"/>
    </row>
    <row r="4" spans="1:6" x14ac:dyDescent="0.3">
      <c r="A4" s="4" t="s">
        <v>4</v>
      </c>
      <c r="B4" s="5" t="s">
        <v>27</v>
      </c>
      <c r="C4" s="5" t="s">
        <v>18</v>
      </c>
      <c r="D4" s="5" t="s">
        <v>243</v>
      </c>
      <c r="F4" s="5" t="s">
        <v>251</v>
      </c>
    </row>
    <row r="5" spans="1:6" x14ac:dyDescent="0.3">
      <c r="A5" s="5" t="s">
        <v>37</v>
      </c>
      <c r="B5" s="6">
        <v>20</v>
      </c>
      <c r="C5" s="6"/>
      <c r="D5" s="6">
        <v>20</v>
      </c>
      <c r="F5" s="5">
        <f>0/20*100</f>
        <v>0</v>
      </c>
    </row>
    <row r="6" spans="1:6" x14ac:dyDescent="0.3">
      <c r="A6" s="5" t="s">
        <v>25</v>
      </c>
      <c r="B6" s="6">
        <v>10</v>
      </c>
      <c r="C6" s="6">
        <v>5</v>
      </c>
      <c r="D6" s="6">
        <v>15</v>
      </c>
      <c r="F6" s="5">
        <f>5/15*100</f>
        <v>33.333333333333329</v>
      </c>
    </row>
    <row r="7" spans="1:6" x14ac:dyDescent="0.3">
      <c r="A7" s="5" t="s">
        <v>32</v>
      </c>
      <c r="B7" s="6">
        <v>20</v>
      </c>
      <c r="C7" s="6">
        <v>5</v>
      </c>
      <c r="D7" s="6">
        <v>25</v>
      </c>
      <c r="F7" s="5">
        <f>5/25*100</f>
        <v>20</v>
      </c>
    </row>
    <row r="8" spans="1:6" x14ac:dyDescent="0.3">
      <c r="A8" s="5" t="s">
        <v>47</v>
      </c>
      <c r="B8" s="6">
        <v>5</v>
      </c>
      <c r="C8" s="6">
        <v>10</v>
      </c>
      <c r="D8" s="6">
        <v>15</v>
      </c>
      <c r="F8" s="5">
        <f>10/15*100</f>
        <v>66.666666666666657</v>
      </c>
    </row>
    <row r="9" spans="1:6" x14ac:dyDescent="0.3">
      <c r="A9" s="5" t="s">
        <v>16</v>
      </c>
      <c r="B9" s="6"/>
      <c r="C9" s="6">
        <v>25</v>
      </c>
      <c r="D9" s="6">
        <v>25</v>
      </c>
      <c r="F9" s="5">
        <f>25/25*100</f>
        <v>100</v>
      </c>
    </row>
    <row r="10" spans="1:6" x14ac:dyDescent="0.3">
      <c r="A10" s="5" t="s">
        <v>243</v>
      </c>
      <c r="B10" s="6">
        <v>55</v>
      </c>
      <c r="C10" s="6">
        <v>45</v>
      </c>
      <c r="D10" s="6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5A18-8BBB-4ABA-8FA9-CC2C1FE63FDD}">
  <dimension ref="A1:N101"/>
  <sheetViews>
    <sheetView workbookViewId="0">
      <pane ySplit="1" topLeftCell="A75" activePane="bottomLeft" state="frozen"/>
      <selection pane="bottomLeft" activeCell="D82" sqref="D82"/>
    </sheetView>
  </sheetViews>
  <sheetFormatPr defaultRowHeight="14.4" x14ac:dyDescent="0.3"/>
  <cols>
    <col min="1" max="1" width="8" bestFit="1" customWidth="1"/>
    <col min="2" max="2" width="16.6640625" bestFit="1" customWidth="1"/>
    <col min="3" max="3" width="4.88671875" bestFit="1" customWidth="1"/>
    <col min="4" max="4" width="8.21875" bestFit="1" customWidth="1"/>
    <col min="5" max="5" width="12.44140625" bestFit="1" customWidth="1"/>
    <col min="6" max="6" width="16.6640625" bestFit="1" customWidth="1"/>
    <col min="7" max="7" width="15.5546875" bestFit="1" customWidth="1"/>
    <col min="8" max="8" width="19.109375" bestFit="1" customWidth="1"/>
    <col min="9" max="9" width="8.77734375" bestFit="1" customWidth="1"/>
    <col min="10" max="10" width="20.109375" bestFit="1" customWidth="1"/>
    <col min="11" max="11" width="20.5546875" bestFit="1" customWidth="1"/>
    <col min="12" max="12" width="14.21875" bestFit="1" customWidth="1"/>
    <col min="13" max="13" width="18.88671875" bestFit="1" customWidth="1"/>
    <col min="14" max="14" width="19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242</v>
      </c>
    </row>
    <row r="2" spans="1:14" x14ac:dyDescent="0.3">
      <c r="A2" s="2" t="s">
        <v>13</v>
      </c>
      <c r="B2" s="2" t="s">
        <v>14</v>
      </c>
      <c r="C2" s="2">
        <v>28</v>
      </c>
      <c r="D2" s="2" t="s">
        <v>15</v>
      </c>
      <c r="E2" s="2" t="s">
        <v>16</v>
      </c>
      <c r="F2" s="2" t="s">
        <v>17</v>
      </c>
      <c r="G2" s="2">
        <v>32000</v>
      </c>
      <c r="H2" s="2">
        <v>2</v>
      </c>
      <c r="I2" s="2" t="s">
        <v>18</v>
      </c>
      <c r="J2" s="2" t="s">
        <v>19</v>
      </c>
      <c r="K2" s="2">
        <v>3</v>
      </c>
      <c r="L2" s="2" t="s">
        <v>20</v>
      </c>
      <c r="M2" s="2" t="s">
        <v>21</v>
      </c>
      <c r="N2" t="str">
        <f>IF(C2&lt;25,"Under 25",IF(C2&lt;=35,"25-35",IF(C2&lt;=45,"36-45","46+")))</f>
        <v>25-35</v>
      </c>
    </row>
    <row r="3" spans="1:14" x14ac:dyDescent="0.3">
      <c r="A3" s="3" t="s">
        <v>22</v>
      </c>
      <c r="B3" s="3" t="s">
        <v>23</v>
      </c>
      <c r="C3" s="3">
        <v>35</v>
      </c>
      <c r="D3" s="3" t="s">
        <v>24</v>
      </c>
      <c r="E3" s="3" t="s">
        <v>25</v>
      </c>
      <c r="F3" s="3" t="s">
        <v>26</v>
      </c>
      <c r="G3" s="3">
        <v>55000</v>
      </c>
      <c r="H3" s="3">
        <v>7</v>
      </c>
      <c r="I3" s="3" t="s">
        <v>27</v>
      </c>
      <c r="J3" s="3"/>
      <c r="K3" s="3">
        <v>4</v>
      </c>
      <c r="L3" s="3" t="s">
        <v>28</v>
      </c>
      <c r="M3" s="3" t="s">
        <v>29</v>
      </c>
      <c r="N3" t="str">
        <f t="shared" ref="N3:N66" si="0">IF(C3&lt;25,"Under 25",IF(C3&lt;=35,"25-35",IF(C3&lt;=45,"36-45","46+")))</f>
        <v>25-35</v>
      </c>
    </row>
    <row r="4" spans="1:14" x14ac:dyDescent="0.3">
      <c r="A4" s="2" t="s">
        <v>30</v>
      </c>
      <c r="B4" s="2" t="s">
        <v>31</v>
      </c>
      <c r="C4" s="2">
        <v>24</v>
      </c>
      <c r="D4" s="2" t="s">
        <v>15</v>
      </c>
      <c r="E4" s="2" t="s">
        <v>32</v>
      </c>
      <c r="F4" s="2" t="s">
        <v>33</v>
      </c>
      <c r="G4" s="2">
        <v>42000</v>
      </c>
      <c r="H4" s="2">
        <v>1</v>
      </c>
      <c r="I4" s="2" t="s">
        <v>18</v>
      </c>
      <c r="J4" s="2" t="s">
        <v>34</v>
      </c>
      <c r="K4" s="2">
        <v>3</v>
      </c>
      <c r="L4" s="2" t="s">
        <v>20</v>
      </c>
      <c r="M4" s="2" t="s">
        <v>21</v>
      </c>
      <c r="N4" t="str">
        <f t="shared" si="0"/>
        <v>Under 25</v>
      </c>
    </row>
    <row r="5" spans="1:14" x14ac:dyDescent="0.3">
      <c r="A5" s="3" t="s">
        <v>35</v>
      </c>
      <c r="B5" s="3" t="s">
        <v>36</v>
      </c>
      <c r="C5" s="3">
        <v>42</v>
      </c>
      <c r="D5" s="3" t="s">
        <v>24</v>
      </c>
      <c r="E5" s="3" t="s">
        <v>37</v>
      </c>
      <c r="F5" s="3" t="s">
        <v>38</v>
      </c>
      <c r="G5" s="3">
        <v>48000</v>
      </c>
      <c r="H5" s="3">
        <v>10</v>
      </c>
      <c r="I5" s="3" t="s">
        <v>27</v>
      </c>
      <c r="J5" s="3"/>
      <c r="K5" s="3">
        <v>5</v>
      </c>
      <c r="L5" s="3" t="s">
        <v>28</v>
      </c>
      <c r="M5" s="3" t="s">
        <v>39</v>
      </c>
      <c r="N5" t="str">
        <f t="shared" si="0"/>
        <v>36-45</v>
      </c>
    </row>
    <row r="6" spans="1:14" x14ac:dyDescent="0.3">
      <c r="A6" s="2" t="s">
        <v>40</v>
      </c>
      <c r="B6" s="2" t="s">
        <v>41</v>
      </c>
      <c r="C6" s="2">
        <v>29</v>
      </c>
      <c r="D6" s="2" t="s">
        <v>15</v>
      </c>
      <c r="E6" s="2" t="s">
        <v>16</v>
      </c>
      <c r="F6" s="2" t="s">
        <v>17</v>
      </c>
      <c r="G6" s="2">
        <v>31000</v>
      </c>
      <c r="H6" s="2">
        <v>3</v>
      </c>
      <c r="I6" s="2" t="s">
        <v>18</v>
      </c>
      <c r="J6" s="2" t="s">
        <v>19</v>
      </c>
      <c r="K6" s="2">
        <v>2</v>
      </c>
      <c r="L6" s="2" t="s">
        <v>20</v>
      </c>
      <c r="M6" s="2" t="s">
        <v>21</v>
      </c>
      <c r="N6" t="str">
        <f t="shared" si="0"/>
        <v>25-35</v>
      </c>
    </row>
    <row r="7" spans="1:14" x14ac:dyDescent="0.3">
      <c r="A7" s="3" t="s">
        <v>42</v>
      </c>
      <c r="B7" s="3" t="s">
        <v>43</v>
      </c>
      <c r="C7" s="3">
        <v>38</v>
      </c>
      <c r="D7" s="3" t="s">
        <v>24</v>
      </c>
      <c r="E7" s="3" t="s">
        <v>32</v>
      </c>
      <c r="F7" s="3" t="s">
        <v>44</v>
      </c>
      <c r="G7" s="3">
        <v>72000</v>
      </c>
      <c r="H7" s="3">
        <v>9</v>
      </c>
      <c r="I7" s="3" t="s">
        <v>27</v>
      </c>
      <c r="J7" s="3"/>
      <c r="K7" s="3">
        <v>5</v>
      </c>
      <c r="L7" s="3" t="s">
        <v>28</v>
      </c>
      <c r="M7" s="3" t="s">
        <v>29</v>
      </c>
      <c r="N7" t="str">
        <f t="shared" si="0"/>
        <v>36-45</v>
      </c>
    </row>
    <row r="8" spans="1:14" x14ac:dyDescent="0.3">
      <c r="A8" s="2" t="s">
        <v>45</v>
      </c>
      <c r="B8" s="2" t="s">
        <v>46</v>
      </c>
      <c r="C8" s="2">
        <v>26</v>
      </c>
      <c r="D8" s="2" t="s">
        <v>15</v>
      </c>
      <c r="E8" s="2" t="s">
        <v>47</v>
      </c>
      <c r="F8" s="2" t="s">
        <v>48</v>
      </c>
      <c r="G8" s="2">
        <v>35000</v>
      </c>
      <c r="H8" s="2">
        <v>1</v>
      </c>
      <c r="I8" s="2" t="s">
        <v>18</v>
      </c>
      <c r="J8" s="2" t="s">
        <v>12</v>
      </c>
      <c r="K8" s="2">
        <v>2</v>
      </c>
      <c r="L8" s="2" t="s">
        <v>20</v>
      </c>
      <c r="M8" s="2" t="s">
        <v>21</v>
      </c>
      <c r="N8" t="str">
        <f t="shared" si="0"/>
        <v>25-35</v>
      </c>
    </row>
    <row r="9" spans="1:14" x14ac:dyDescent="0.3">
      <c r="A9" s="3" t="s">
        <v>49</v>
      </c>
      <c r="B9" s="3" t="s">
        <v>50</v>
      </c>
      <c r="C9" s="3">
        <v>31</v>
      </c>
      <c r="D9" s="3" t="s">
        <v>24</v>
      </c>
      <c r="E9" s="3" t="s">
        <v>25</v>
      </c>
      <c r="F9" s="3" t="s">
        <v>51</v>
      </c>
      <c r="G9" s="3">
        <v>38000</v>
      </c>
      <c r="H9" s="3">
        <v>4</v>
      </c>
      <c r="I9" s="3" t="s">
        <v>27</v>
      </c>
      <c r="J9" s="3"/>
      <c r="K9" s="3">
        <v>4</v>
      </c>
      <c r="L9" s="3" t="s">
        <v>28</v>
      </c>
      <c r="M9" s="3" t="s">
        <v>29</v>
      </c>
      <c r="N9" t="str">
        <f t="shared" si="0"/>
        <v>25-35</v>
      </c>
    </row>
    <row r="10" spans="1:14" x14ac:dyDescent="0.3">
      <c r="A10" s="2" t="s">
        <v>52</v>
      </c>
      <c r="B10" s="2" t="s">
        <v>53</v>
      </c>
      <c r="C10" s="2">
        <v>45</v>
      </c>
      <c r="D10" s="2" t="s">
        <v>15</v>
      </c>
      <c r="E10" s="2" t="s">
        <v>37</v>
      </c>
      <c r="F10" s="2" t="s">
        <v>54</v>
      </c>
      <c r="G10" s="2">
        <v>80000</v>
      </c>
      <c r="H10" s="2">
        <v>15</v>
      </c>
      <c r="I10" s="2" t="s">
        <v>27</v>
      </c>
      <c r="J10" s="2"/>
      <c r="K10" s="2">
        <v>5</v>
      </c>
      <c r="L10" s="2" t="s">
        <v>28</v>
      </c>
      <c r="M10" s="2" t="s">
        <v>39</v>
      </c>
      <c r="N10" t="str">
        <f t="shared" si="0"/>
        <v>36-45</v>
      </c>
    </row>
    <row r="11" spans="1:14" x14ac:dyDescent="0.3">
      <c r="A11" s="3" t="s">
        <v>55</v>
      </c>
      <c r="B11" s="3" t="s">
        <v>56</v>
      </c>
      <c r="C11" s="3">
        <v>27</v>
      </c>
      <c r="D11" s="3" t="s">
        <v>24</v>
      </c>
      <c r="E11" s="3" t="s">
        <v>16</v>
      </c>
      <c r="F11" s="3" t="s">
        <v>17</v>
      </c>
      <c r="G11" s="3">
        <v>30000</v>
      </c>
      <c r="H11" s="3">
        <v>1</v>
      </c>
      <c r="I11" s="3" t="s">
        <v>18</v>
      </c>
      <c r="J11" s="3" t="s">
        <v>19</v>
      </c>
      <c r="K11" s="3">
        <v>2</v>
      </c>
      <c r="L11" s="3" t="s">
        <v>20</v>
      </c>
      <c r="M11" s="3" t="s">
        <v>21</v>
      </c>
      <c r="N11" t="str">
        <f t="shared" si="0"/>
        <v>25-35</v>
      </c>
    </row>
    <row r="12" spans="1:14" x14ac:dyDescent="0.3">
      <c r="A12" s="2" t="s">
        <v>57</v>
      </c>
      <c r="B12" s="2" t="s">
        <v>58</v>
      </c>
      <c r="C12" s="2">
        <v>33</v>
      </c>
      <c r="D12" s="2" t="s">
        <v>15</v>
      </c>
      <c r="E12" s="2" t="s">
        <v>32</v>
      </c>
      <c r="F12" s="2" t="s">
        <v>33</v>
      </c>
      <c r="G12" s="2">
        <v>45000</v>
      </c>
      <c r="H12" s="2">
        <v>5</v>
      </c>
      <c r="I12" s="2" t="s">
        <v>27</v>
      </c>
      <c r="J12" s="2"/>
      <c r="K12" s="2">
        <v>4</v>
      </c>
      <c r="L12" s="2" t="s">
        <v>28</v>
      </c>
      <c r="M12" s="2" t="s">
        <v>29</v>
      </c>
      <c r="N12" t="str">
        <f t="shared" si="0"/>
        <v>25-35</v>
      </c>
    </row>
    <row r="13" spans="1:14" x14ac:dyDescent="0.3">
      <c r="A13" s="3" t="s">
        <v>59</v>
      </c>
      <c r="B13" s="3" t="s">
        <v>60</v>
      </c>
      <c r="C13" s="3">
        <v>29</v>
      </c>
      <c r="D13" s="3" t="s">
        <v>24</v>
      </c>
      <c r="E13" s="3" t="s">
        <v>47</v>
      </c>
      <c r="F13" s="3" t="s">
        <v>48</v>
      </c>
      <c r="G13" s="3">
        <v>36000</v>
      </c>
      <c r="H13" s="3">
        <v>2</v>
      </c>
      <c r="I13" s="3" t="s">
        <v>18</v>
      </c>
      <c r="J13" s="3" t="s">
        <v>34</v>
      </c>
      <c r="K13" s="3">
        <v>3</v>
      </c>
      <c r="L13" s="3" t="s">
        <v>20</v>
      </c>
      <c r="M13" s="3" t="s">
        <v>61</v>
      </c>
      <c r="N13" t="str">
        <f t="shared" si="0"/>
        <v>25-35</v>
      </c>
    </row>
    <row r="14" spans="1:14" x14ac:dyDescent="0.3">
      <c r="A14" s="2" t="s">
        <v>62</v>
      </c>
      <c r="B14" s="2" t="s">
        <v>63</v>
      </c>
      <c r="C14" s="2">
        <v>52</v>
      </c>
      <c r="D14" s="2" t="s">
        <v>15</v>
      </c>
      <c r="E14" s="2" t="s">
        <v>37</v>
      </c>
      <c r="F14" s="2" t="s">
        <v>64</v>
      </c>
      <c r="G14" s="2">
        <v>120000</v>
      </c>
      <c r="H14" s="2">
        <v>20</v>
      </c>
      <c r="I14" s="2" t="s">
        <v>27</v>
      </c>
      <c r="J14" s="2"/>
      <c r="K14" s="2">
        <v>5</v>
      </c>
      <c r="L14" s="2" t="s">
        <v>28</v>
      </c>
      <c r="M14" s="2" t="s">
        <v>39</v>
      </c>
      <c r="N14" t="str">
        <f t="shared" si="0"/>
        <v>46+</v>
      </c>
    </row>
    <row r="15" spans="1:14" x14ac:dyDescent="0.3">
      <c r="A15" s="3" t="s">
        <v>65</v>
      </c>
      <c r="B15" s="3" t="s">
        <v>66</v>
      </c>
      <c r="C15" s="3">
        <v>25</v>
      </c>
      <c r="D15" s="3" t="s">
        <v>24</v>
      </c>
      <c r="E15" s="3" t="s">
        <v>16</v>
      </c>
      <c r="F15" s="3" t="s">
        <v>17</v>
      </c>
      <c r="G15" s="3">
        <v>29000</v>
      </c>
      <c r="H15" s="3">
        <v>1</v>
      </c>
      <c r="I15" s="3" t="s">
        <v>18</v>
      </c>
      <c r="J15" s="3" t="s">
        <v>19</v>
      </c>
      <c r="K15" s="3">
        <v>2</v>
      </c>
      <c r="L15" s="3" t="s">
        <v>20</v>
      </c>
      <c r="M15" s="3" t="s">
        <v>21</v>
      </c>
      <c r="N15" t="str">
        <f t="shared" si="0"/>
        <v>25-35</v>
      </c>
    </row>
    <row r="16" spans="1:14" x14ac:dyDescent="0.3">
      <c r="A16" s="2" t="s">
        <v>67</v>
      </c>
      <c r="B16" s="2" t="s">
        <v>68</v>
      </c>
      <c r="C16" s="2">
        <v>36</v>
      </c>
      <c r="D16" s="2" t="s">
        <v>15</v>
      </c>
      <c r="E16" s="2" t="s">
        <v>32</v>
      </c>
      <c r="F16" s="2" t="s">
        <v>69</v>
      </c>
      <c r="G16" s="2">
        <v>68000</v>
      </c>
      <c r="H16" s="2">
        <v>8</v>
      </c>
      <c r="I16" s="2" t="s">
        <v>27</v>
      </c>
      <c r="J16" s="2"/>
      <c r="K16" s="2">
        <v>5</v>
      </c>
      <c r="L16" s="2" t="s">
        <v>28</v>
      </c>
      <c r="M16" s="2" t="s">
        <v>29</v>
      </c>
      <c r="N16" t="str">
        <f t="shared" si="0"/>
        <v>36-45</v>
      </c>
    </row>
    <row r="17" spans="1:14" x14ac:dyDescent="0.3">
      <c r="A17" s="3" t="s">
        <v>70</v>
      </c>
      <c r="B17" s="3" t="s">
        <v>71</v>
      </c>
      <c r="C17" s="3">
        <v>28</v>
      </c>
      <c r="D17" s="3" t="s">
        <v>24</v>
      </c>
      <c r="E17" s="3" t="s">
        <v>25</v>
      </c>
      <c r="F17" s="3" t="s">
        <v>51</v>
      </c>
      <c r="G17" s="3">
        <v>37000</v>
      </c>
      <c r="H17" s="3">
        <v>2</v>
      </c>
      <c r="I17" s="3" t="s">
        <v>18</v>
      </c>
      <c r="J17" s="3" t="s">
        <v>12</v>
      </c>
      <c r="K17" s="3">
        <v>3</v>
      </c>
      <c r="L17" s="3" t="s">
        <v>20</v>
      </c>
      <c r="M17" s="3" t="s">
        <v>21</v>
      </c>
      <c r="N17" t="str">
        <f t="shared" si="0"/>
        <v>25-35</v>
      </c>
    </row>
    <row r="18" spans="1:14" x14ac:dyDescent="0.3">
      <c r="A18" s="2" t="s">
        <v>72</v>
      </c>
      <c r="B18" s="2" t="s">
        <v>73</v>
      </c>
      <c r="C18" s="2">
        <v>41</v>
      </c>
      <c r="D18" s="2" t="s">
        <v>15</v>
      </c>
      <c r="E18" s="2" t="s">
        <v>47</v>
      </c>
      <c r="F18" s="2" t="s">
        <v>74</v>
      </c>
      <c r="G18" s="2">
        <v>65000</v>
      </c>
      <c r="H18" s="2">
        <v>10</v>
      </c>
      <c r="I18" s="2" t="s">
        <v>27</v>
      </c>
      <c r="J18" s="2"/>
      <c r="K18" s="2">
        <v>4</v>
      </c>
      <c r="L18" s="2" t="s">
        <v>28</v>
      </c>
      <c r="M18" s="2" t="s">
        <v>29</v>
      </c>
      <c r="N18" t="str">
        <f t="shared" si="0"/>
        <v>36-45</v>
      </c>
    </row>
    <row r="19" spans="1:14" x14ac:dyDescent="0.3">
      <c r="A19" s="3" t="s">
        <v>75</v>
      </c>
      <c r="B19" s="3" t="s">
        <v>76</v>
      </c>
      <c r="C19" s="3">
        <v>23</v>
      </c>
      <c r="D19" s="3" t="s">
        <v>24</v>
      </c>
      <c r="E19" s="3" t="s">
        <v>16</v>
      </c>
      <c r="F19" s="3" t="s">
        <v>17</v>
      </c>
      <c r="G19" s="3">
        <v>28000</v>
      </c>
      <c r="H19" s="3">
        <v>1</v>
      </c>
      <c r="I19" s="3" t="s">
        <v>18</v>
      </c>
      <c r="J19" s="3" t="s">
        <v>19</v>
      </c>
      <c r="K19" s="3">
        <v>2</v>
      </c>
      <c r="L19" s="3" t="s">
        <v>20</v>
      </c>
      <c r="M19" s="3" t="s">
        <v>21</v>
      </c>
      <c r="N19" t="str">
        <f t="shared" si="0"/>
        <v>Under 25</v>
      </c>
    </row>
    <row r="20" spans="1:14" x14ac:dyDescent="0.3">
      <c r="A20" s="2" t="s">
        <v>77</v>
      </c>
      <c r="B20" s="2" t="s">
        <v>78</v>
      </c>
      <c r="C20" s="2">
        <v>48</v>
      </c>
      <c r="D20" s="2" t="s">
        <v>15</v>
      </c>
      <c r="E20" s="2" t="s">
        <v>37</v>
      </c>
      <c r="F20" s="2" t="s">
        <v>38</v>
      </c>
      <c r="G20" s="2">
        <v>52000</v>
      </c>
      <c r="H20" s="2">
        <v>12</v>
      </c>
      <c r="I20" s="2" t="s">
        <v>27</v>
      </c>
      <c r="J20" s="2"/>
      <c r="K20" s="2">
        <v>4</v>
      </c>
      <c r="L20" s="2" t="s">
        <v>28</v>
      </c>
      <c r="M20" s="2" t="s">
        <v>29</v>
      </c>
      <c r="N20" t="str">
        <f t="shared" si="0"/>
        <v>46+</v>
      </c>
    </row>
    <row r="21" spans="1:14" x14ac:dyDescent="0.3">
      <c r="A21" s="3" t="s">
        <v>79</v>
      </c>
      <c r="B21" s="3" t="s">
        <v>80</v>
      </c>
      <c r="C21" s="3">
        <v>30</v>
      </c>
      <c r="D21" s="3" t="s">
        <v>24</v>
      </c>
      <c r="E21" s="3" t="s">
        <v>32</v>
      </c>
      <c r="F21" s="3" t="s">
        <v>33</v>
      </c>
      <c r="G21" s="3">
        <v>44000</v>
      </c>
      <c r="H21" s="3">
        <v>3</v>
      </c>
      <c r="I21" s="3" t="s">
        <v>27</v>
      </c>
      <c r="J21" s="3"/>
      <c r="K21" s="3">
        <v>4</v>
      </c>
      <c r="L21" s="3" t="s">
        <v>20</v>
      </c>
      <c r="M21" s="3" t="s">
        <v>61</v>
      </c>
      <c r="N21" t="str">
        <f t="shared" si="0"/>
        <v>25-35</v>
      </c>
    </row>
    <row r="22" spans="1:14" x14ac:dyDescent="0.3">
      <c r="A22" s="2" t="s">
        <v>81</v>
      </c>
      <c r="B22" s="2" t="s">
        <v>82</v>
      </c>
      <c r="C22" s="2">
        <v>27</v>
      </c>
      <c r="D22" s="2" t="s">
        <v>15</v>
      </c>
      <c r="E22" s="2" t="s">
        <v>16</v>
      </c>
      <c r="F22" s="2" t="s">
        <v>17</v>
      </c>
      <c r="G22" s="2">
        <v>31000</v>
      </c>
      <c r="H22" s="2">
        <v>2</v>
      </c>
      <c r="I22" s="2" t="s">
        <v>18</v>
      </c>
      <c r="J22" s="2" t="s">
        <v>19</v>
      </c>
      <c r="K22" s="2">
        <v>2</v>
      </c>
      <c r="L22" s="2" t="s">
        <v>20</v>
      </c>
      <c r="M22" s="2" t="s">
        <v>21</v>
      </c>
      <c r="N22" t="str">
        <f t="shared" si="0"/>
        <v>25-35</v>
      </c>
    </row>
    <row r="23" spans="1:14" x14ac:dyDescent="0.3">
      <c r="A23" s="3" t="s">
        <v>83</v>
      </c>
      <c r="B23" s="3" t="s">
        <v>84</v>
      </c>
      <c r="C23" s="3">
        <v>34</v>
      </c>
      <c r="D23" s="3" t="s">
        <v>24</v>
      </c>
      <c r="E23" s="3" t="s">
        <v>25</v>
      </c>
      <c r="F23" s="3" t="s">
        <v>26</v>
      </c>
      <c r="G23" s="3">
        <v>54000</v>
      </c>
      <c r="H23" s="3">
        <v>6</v>
      </c>
      <c r="I23" s="3" t="s">
        <v>27</v>
      </c>
      <c r="J23" s="3"/>
      <c r="K23" s="3">
        <v>4</v>
      </c>
      <c r="L23" s="3" t="s">
        <v>28</v>
      </c>
      <c r="M23" s="3" t="s">
        <v>29</v>
      </c>
      <c r="N23" t="str">
        <f t="shared" si="0"/>
        <v>25-35</v>
      </c>
    </row>
    <row r="24" spans="1:14" x14ac:dyDescent="0.3">
      <c r="A24" s="2" t="s">
        <v>85</v>
      </c>
      <c r="B24" s="2" t="s">
        <v>86</v>
      </c>
      <c r="C24" s="2">
        <v>25</v>
      </c>
      <c r="D24" s="2" t="s">
        <v>15</v>
      </c>
      <c r="E24" s="2" t="s">
        <v>32</v>
      </c>
      <c r="F24" s="2" t="s">
        <v>33</v>
      </c>
      <c r="G24" s="2">
        <v>40000</v>
      </c>
      <c r="H24" s="2">
        <v>1</v>
      </c>
      <c r="I24" s="2" t="s">
        <v>18</v>
      </c>
      <c r="J24" s="2" t="s">
        <v>34</v>
      </c>
      <c r="K24" s="2">
        <v>3</v>
      </c>
      <c r="L24" s="2" t="s">
        <v>20</v>
      </c>
      <c r="M24" s="2" t="s">
        <v>21</v>
      </c>
      <c r="N24" t="str">
        <f t="shared" si="0"/>
        <v>25-35</v>
      </c>
    </row>
    <row r="25" spans="1:14" x14ac:dyDescent="0.3">
      <c r="A25" s="3" t="s">
        <v>87</v>
      </c>
      <c r="B25" s="3" t="s">
        <v>88</v>
      </c>
      <c r="C25" s="3">
        <v>39</v>
      </c>
      <c r="D25" s="3" t="s">
        <v>24</v>
      </c>
      <c r="E25" s="3" t="s">
        <v>37</v>
      </c>
      <c r="F25" s="3" t="s">
        <v>38</v>
      </c>
      <c r="G25" s="3">
        <v>49000</v>
      </c>
      <c r="H25" s="3">
        <v>8</v>
      </c>
      <c r="I25" s="3" t="s">
        <v>27</v>
      </c>
      <c r="J25" s="3"/>
      <c r="K25" s="3">
        <v>5</v>
      </c>
      <c r="L25" s="3" t="s">
        <v>28</v>
      </c>
      <c r="M25" s="3" t="s">
        <v>39</v>
      </c>
      <c r="N25" t="str">
        <f t="shared" si="0"/>
        <v>36-45</v>
      </c>
    </row>
    <row r="26" spans="1:14" x14ac:dyDescent="0.3">
      <c r="A26" s="2" t="s">
        <v>89</v>
      </c>
      <c r="B26" s="2" t="s">
        <v>90</v>
      </c>
      <c r="C26" s="2">
        <v>28</v>
      </c>
      <c r="D26" s="2" t="s">
        <v>15</v>
      </c>
      <c r="E26" s="2" t="s">
        <v>47</v>
      </c>
      <c r="F26" s="2" t="s">
        <v>48</v>
      </c>
      <c r="G26" s="2">
        <v>34000</v>
      </c>
      <c r="H26" s="2">
        <v>2</v>
      </c>
      <c r="I26" s="2" t="s">
        <v>18</v>
      </c>
      <c r="J26" s="2" t="s">
        <v>12</v>
      </c>
      <c r="K26" s="2">
        <v>2</v>
      </c>
      <c r="L26" s="2" t="s">
        <v>20</v>
      </c>
      <c r="M26" s="2" t="s">
        <v>21</v>
      </c>
      <c r="N26" t="str">
        <f t="shared" si="0"/>
        <v>25-35</v>
      </c>
    </row>
    <row r="27" spans="1:14" x14ac:dyDescent="0.3">
      <c r="A27" s="3" t="s">
        <v>91</v>
      </c>
      <c r="B27" s="3" t="s">
        <v>92</v>
      </c>
      <c r="C27" s="3">
        <v>44</v>
      </c>
      <c r="D27" s="3" t="s">
        <v>24</v>
      </c>
      <c r="E27" s="3" t="s">
        <v>32</v>
      </c>
      <c r="F27" s="3" t="s">
        <v>44</v>
      </c>
      <c r="G27" s="3">
        <v>74000</v>
      </c>
      <c r="H27" s="3">
        <v>11</v>
      </c>
      <c r="I27" s="3" t="s">
        <v>27</v>
      </c>
      <c r="J27" s="3"/>
      <c r="K27" s="3">
        <v>5</v>
      </c>
      <c r="L27" s="3" t="s">
        <v>28</v>
      </c>
      <c r="M27" s="3" t="s">
        <v>29</v>
      </c>
      <c r="N27" t="str">
        <f t="shared" si="0"/>
        <v>36-45</v>
      </c>
    </row>
    <row r="28" spans="1:14" x14ac:dyDescent="0.3">
      <c r="A28" s="2" t="s">
        <v>93</v>
      </c>
      <c r="B28" s="2" t="s">
        <v>94</v>
      </c>
      <c r="C28" s="2">
        <v>26</v>
      </c>
      <c r="D28" s="2" t="s">
        <v>15</v>
      </c>
      <c r="E28" s="2" t="s">
        <v>16</v>
      </c>
      <c r="F28" s="2" t="s">
        <v>17</v>
      </c>
      <c r="G28" s="2">
        <v>30000</v>
      </c>
      <c r="H28" s="2">
        <v>1</v>
      </c>
      <c r="I28" s="2" t="s">
        <v>18</v>
      </c>
      <c r="J28" s="2" t="s">
        <v>19</v>
      </c>
      <c r="K28" s="2">
        <v>2</v>
      </c>
      <c r="L28" s="2" t="s">
        <v>20</v>
      </c>
      <c r="M28" s="2" t="s">
        <v>21</v>
      </c>
      <c r="N28" t="str">
        <f t="shared" si="0"/>
        <v>25-35</v>
      </c>
    </row>
    <row r="29" spans="1:14" x14ac:dyDescent="0.3">
      <c r="A29" s="3" t="s">
        <v>95</v>
      </c>
      <c r="B29" s="3" t="s">
        <v>96</v>
      </c>
      <c r="C29" s="3">
        <v>37</v>
      </c>
      <c r="D29" s="3" t="s">
        <v>24</v>
      </c>
      <c r="E29" s="3" t="s">
        <v>25</v>
      </c>
      <c r="F29" s="3" t="s">
        <v>51</v>
      </c>
      <c r="G29" s="3">
        <v>39000</v>
      </c>
      <c r="H29" s="3">
        <v>5</v>
      </c>
      <c r="I29" s="3" t="s">
        <v>27</v>
      </c>
      <c r="J29" s="3"/>
      <c r="K29" s="3">
        <v>4</v>
      </c>
      <c r="L29" s="3" t="s">
        <v>28</v>
      </c>
      <c r="M29" s="3" t="s">
        <v>29</v>
      </c>
      <c r="N29" t="str">
        <f t="shared" si="0"/>
        <v>36-45</v>
      </c>
    </row>
    <row r="30" spans="1:14" x14ac:dyDescent="0.3">
      <c r="A30" s="2" t="s">
        <v>97</v>
      </c>
      <c r="B30" s="2" t="s">
        <v>98</v>
      </c>
      <c r="C30" s="2">
        <v>50</v>
      </c>
      <c r="D30" s="2" t="s">
        <v>15</v>
      </c>
      <c r="E30" s="2" t="s">
        <v>37</v>
      </c>
      <c r="F30" s="2" t="s">
        <v>54</v>
      </c>
      <c r="G30" s="2">
        <v>82000</v>
      </c>
      <c r="H30" s="2">
        <v>16</v>
      </c>
      <c r="I30" s="2" t="s">
        <v>27</v>
      </c>
      <c r="J30" s="2"/>
      <c r="K30" s="2">
        <v>5</v>
      </c>
      <c r="L30" s="2" t="s">
        <v>28</v>
      </c>
      <c r="M30" s="2" t="s">
        <v>39</v>
      </c>
      <c r="N30" t="str">
        <f t="shared" si="0"/>
        <v>46+</v>
      </c>
    </row>
    <row r="31" spans="1:14" x14ac:dyDescent="0.3">
      <c r="A31" s="3" t="s">
        <v>99</v>
      </c>
      <c r="B31" s="3" t="s">
        <v>100</v>
      </c>
      <c r="C31" s="3">
        <v>24</v>
      </c>
      <c r="D31" s="3" t="s">
        <v>24</v>
      </c>
      <c r="E31" s="3" t="s">
        <v>16</v>
      </c>
      <c r="F31" s="3" t="s">
        <v>17</v>
      </c>
      <c r="G31" s="3">
        <v>29000</v>
      </c>
      <c r="H31" s="3">
        <v>1</v>
      </c>
      <c r="I31" s="3" t="s">
        <v>18</v>
      </c>
      <c r="J31" s="3" t="s">
        <v>19</v>
      </c>
      <c r="K31" s="3">
        <v>2</v>
      </c>
      <c r="L31" s="3" t="s">
        <v>20</v>
      </c>
      <c r="M31" s="3" t="s">
        <v>21</v>
      </c>
      <c r="N31" t="str">
        <f t="shared" si="0"/>
        <v>Under 25</v>
      </c>
    </row>
    <row r="32" spans="1:14" x14ac:dyDescent="0.3">
      <c r="A32" s="2" t="s">
        <v>101</v>
      </c>
      <c r="B32" s="2" t="s">
        <v>102</v>
      </c>
      <c r="C32" s="2">
        <v>32</v>
      </c>
      <c r="D32" s="2" t="s">
        <v>15</v>
      </c>
      <c r="E32" s="2" t="s">
        <v>32</v>
      </c>
      <c r="F32" s="2" t="s">
        <v>69</v>
      </c>
      <c r="G32" s="2">
        <v>66000</v>
      </c>
      <c r="H32" s="2">
        <v>6</v>
      </c>
      <c r="I32" s="2" t="s">
        <v>27</v>
      </c>
      <c r="J32" s="2"/>
      <c r="K32" s="2">
        <v>4</v>
      </c>
      <c r="L32" s="2" t="s">
        <v>28</v>
      </c>
      <c r="M32" s="2" t="s">
        <v>29</v>
      </c>
      <c r="N32" t="str">
        <f t="shared" si="0"/>
        <v>25-35</v>
      </c>
    </row>
    <row r="33" spans="1:14" x14ac:dyDescent="0.3">
      <c r="A33" s="3" t="s">
        <v>103</v>
      </c>
      <c r="B33" s="3" t="s">
        <v>104</v>
      </c>
      <c r="C33" s="3">
        <v>28</v>
      </c>
      <c r="D33" s="3" t="s">
        <v>24</v>
      </c>
      <c r="E33" s="3" t="s">
        <v>47</v>
      </c>
      <c r="F33" s="3" t="s">
        <v>48</v>
      </c>
      <c r="G33" s="3">
        <v>35000</v>
      </c>
      <c r="H33" s="3">
        <v>2</v>
      </c>
      <c r="I33" s="3" t="s">
        <v>18</v>
      </c>
      <c r="J33" s="3" t="s">
        <v>12</v>
      </c>
      <c r="K33" s="3">
        <v>3</v>
      </c>
      <c r="L33" s="3" t="s">
        <v>20</v>
      </c>
      <c r="M33" s="3" t="s">
        <v>21</v>
      </c>
      <c r="N33" t="str">
        <f t="shared" si="0"/>
        <v>25-35</v>
      </c>
    </row>
    <row r="34" spans="1:14" x14ac:dyDescent="0.3">
      <c r="A34" s="2" t="s">
        <v>105</v>
      </c>
      <c r="B34" s="2" t="s">
        <v>106</v>
      </c>
      <c r="C34" s="2">
        <v>55</v>
      </c>
      <c r="D34" s="2" t="s">
        <v>15</v>
      </c>
      <c r="E34" s="2" t="s">
        <v>37</v>
      </c>
      <c r="F34" s="2" t="s">
        <v>64</v>
      </c>
      <c r="G34" s="2">
        <v>125000</v>
      </c>
      <c r="H34" s="2">
        <v>22</v>
      </c>
      <c r="I34" s="2" t="s">
        <v>27</v>
      </c>
      <c r="J34" s="2"/>
      <c r="K34" s="2">
        <v>5</v>
      </c>
      <c r="L34" s="2" t="s">
        <v>28</v>
      </c>
      <c r="M34" s="2" t="s">
        <v>39</v>
      </c>
      <c r="N34" t="str">
        <f t="shared" si="0"/>
        <v>46+</v>
      </c>
    </row>
    <row r="35" spans="1:14" x14ac:dyDescent="0.3">
      <c r="A35" s="3" t="s">
        <v>107</v>
      </c>
      <c r="B35" s="3" t="s">
        <v>108</v>
      </c>
      <c r="C35" s="3">
        <v>26</v>
      </c>
      <c r="D35" s="3" t="s">
        <v>24</v>
      </c>
      <c r="E35" s="3" t="s">
        <v>16</v>
      </c>
      <c r="F35" s="3" t="s">
        <v>17</v>
      </c>
      <c r="G35" s="3">
        <v>30000</v>
      </c>
      <c r="H35" s="3">
        <v>1</v>
      </c>
      <c r="I35" s="3" t="s">
        <v>18</v>
      </c>
      <c r="J35" s="3" t="s">
        <v>19</v>
      </c>
      <c r="K35" s="3">
        <v>2</v>
      </c>
      <c r="L35" s="3" t="s">
        <v>20</v>
      </c>
      <c r="M35" s="3" t="s">
        <v>21</v>
      </c>
      <c r="N35" t="str">
        <f t="shared" si="0"/>
        <v>25-35</v>
      </c>
    </row>
    <row r="36" spans="1:14" x14ac:dyDescent="0.3">
      <c r="A36" s="2" t="s">
        <v>109</v>
      </c>
      <c r="B36" s="2" t="s">
        <v>110</v>
      </c>
      <c r="C36" s="2">
        <v>40</v>
      </c>
      <c r="D36" s="2" t="s">
        <v>15</v>
      </c>
      <c r="E36" s="2" t="s">
        <v>32</v>
      </c>
      <c r="F36" s="2" t="s">
        <v>111</v>
      </c>
      <c r="G36" s="2">
        <v>88000</v>
      </c>
      <c r="H36" s="2">
        <v>12</v>
      </c>
      <c r="I36" s="2" t="s">
        <v>27</v>
      </c>
      <c r="J36" s="2"/>
      <c r="K36" s="2">
        <v>5</v>
      </c>
      <c r="L36" s="2" t="s">
        <v>28</v>
      </c>
      <c r="M36" s="2" t="s">
        <v>29</v>
      </c>
      <c r="N36" t="str">
        <f t="shared" si="0"/>
        <v>36-45</v>
      </c>
    </row>
    <row r="37" spans="1:14" x14ac:dyDescent="0.3">
      <c r="A37" s="3" t="s">
        <v>112</v>
      </c>
      <c r="B37" s="3" t="s">
        <v>113</v>
      </c>
      <c r="C37" s="3">
        <v>29</v>
      </c>
      <c r="D37" s="3" t="s">
        <v>24</v>
      </c>
      <c r="E37" s="3" t="s">
        <v>25</v>
      </c>
      <c r="F37" s="3" t="s">
        <v>51</v>
      </c>
      <c r="G37" s="3">
        <v>38000</v>
      </c>
      <c r="H37" s="3">
        <v>3</v>
      </c>
      <c r="I37" s="3" t="s">
        <v>18</v>
      </c>
      <c r="J37" s="3" t="s">
        <v>34</v>
      </c>
      <c r="K37" s="3">
        <v>3</v>
      </c>
      <c r="L37" s="3" t="s">
        <v>20</v>
      </c>
      <c r="M37" s="3" t="s">
        <v>61</v>
      </c>
      <c r="N37" t="str">
        <f t="shared" si="0"/>
        <v>25-35</v>
      </c>
    </row>
    <row r="38" spans="1:14" x14ac:dyDescent="0.3">
      <c r="A38" s="2" t="s">
        <v>114</v>
      </c>
      <c r="B38" s="2" t="s">
        <v>115</v>
      </c>
      <c r="C38" s="2">
        <v>46</v>
      </c>
      <c r="D38" s="2" t="s">
        <v>15</v>
      </c>
      <c r="E38" s="2" t="s">
        <v>47</v>
      </c>
      <c r="F38" s="2" t="s">
        <v>74</v>
      </c>
      <c r="G38" s="2">
        <v>67000</v>
      </c>
      <c r="H38" s="2">
        <v>11</v>
      </c>
      <c r="I38" s="2" t="s">
        <v>27</v>
      </c>
      <c r="J38" s="2"/>
      <c r="K38" s="2">
        <v>4</v>
      </c>
      <c r="L38" s="2" t="s">
        <v>28</v>
      </c>
      <c r="M38" s="2" t="s">
        <v>29</v>
      </c>
      <c r="N38" t="str">
        <f t="shared" si="0"/>
        <v>46+</v>
      </c>
    </row>
    <row r="39" spans="1:14" x14ac:dyDescent="0.3">
      <c r="A39" s="3" t="s">
        <v>116</v>
      </c>
      <c r="B39" s="3" t="s">
        <v>117</v>
      </c>
      <c r="C39" s="3">
        <v>24</v>
      </c>
      <c r="D39" s="3" t="s">
        <v>24</v>
      </c>
      <c r="E39" s="3" t="s">
        <v>16</v>
      </c>
      <c r="F39" s="3" t="s">
        <v>17</v>
      </c>
      <c r="G39" s="3">
        <v>28000</v>
      </c>
      <c r="H39" s="3">
        <v>1</v>
      </c>
      <c r="I39" s="3" t="s">
        <v>18</v>
      </c>
      <c r="J39" s="3" t="s">
        <v>19</v>
      </c>
      <c r="K39" s="3">
        <v>2</v>
      </c>
      <c r="L39" s="3" t="s">
        <v>20</v>
      </c>
      <c r="M39" s="3" t="s">
        <v>21</v>
      </c>
      <c r="N39" t="str">
        <f t="shared" si="0"/>
        <v>Under 25</v>
      </c>
    </row>
    <row r="40" spans="1:14" x14ac:dyDescent="0.3">
      <c r="A40" s="2" t="s">
        <v>118</v>
      </c>
      <c r="B40" s="2" t="s">
        <v>119</v>
      </c>
      <c r="C40" s="2">
        <v>43</v>
      </c>
      <c r="D40" s="2" t="s">
        <v>15</v>
      </c>
      <c r="E40" s="2" t="s">
        <v>37</v>
      </c>
      <c r="F40" s="2" t="s">
        <v>38</v>
      </c>
      <c r="G40" s="2">
        <v>51000</v>
      </c>
      <c r="H40" s="2">
        <v>10</v>
      </c>
      <c r="I40" s="2" t="s">
        <v>27</v>
      </c>
      <c r="J40" s="2"/>
      <c r="K40" s="2">
        <v>4</v>
      </c>
      <c r="L40" s="2" t="s">
        <v>28</v>
      </c>
      <c r="M40" s="2" t="s">
        <v>29</v>
      </c>
      <c r="N40" t="str">
        <f t="shared" si="0"/>
        <v>36-45</v>
      </c>
    </row>
    <row r="41" spans="1:14" x14ac:dyDescent="0.3">
      <c r="A41" s="3" t="s">
        <v>120</v>
      </c>
      <c r="B41" s="3" t="s">
        <v>121</v>
      </c>
      <c r="C41" s="3">
        <v>31</v>
      </c>
      <c r="D41" s="3" t="s">
        <v>24</v>
      </c>
      <c r="E41" s="3" t="s">
        <v>32</v>
      </c>
      <c r="F41" s="3" t="s">
        <v>33</v>
      </c>
      <c r="G41" s="3">
        <v>43000</v>
      </c>
      <c r="H41" s="3">
        <v>4</v>
      </c>
      <c r="I41" s="3" t="s">
        <v>27</v>
      </c>
      <c r="J41" s="3"/>
      <c r="K41" s="3">
        <v>4</v>
      </c>
      <c r="L41" s="3" t="s">
        <v>28</v>
      </c>
      <c r="M41" s="3" t="s">
        <v>61</v>
      </c>
      <c r="N41" t="str">
        <f t="shared" si="0"/>
        <v>25-35</v>
      </c>
    </row>
    <row r="42" spans="1:14" x14ac:dyDescent="0.3">
      <c r="A42" s="2" t="s">
        <v>122</v>
      </c>
      <c r="B42" s="2" t="s">
        <v>123</v>
      </c>
      <c r="C42" s="2">
        <v>25</v>
      </c>
      <c r="D42" s="2" t="s">
        <v>15</v>
      </c>
      <c r="E42" s="2" t="s">
        <v>16</v>
      </c>
      <c r="F42" s="2" t="s">
        <v>17</v>
      </c>
      <c r="G42" s="2">
        <v>31000</v>
      </c>
      <c r="H42" s="2">
        <v>1</v>
      </c>
      <c r="I42" s="2" t="s">
        <v>18</v>
      </c>
      <c r="J42" s="2" t="s">
        <v>19</v>
      </c>
      <c r="K42" s="2">
        <v>2</v>
      </c>
      <c r="L42" s="2" t="s">
        <v>20</v>
      </c>
      <c r="M42" s="2" t="s">
        <v>21</v>
      </c>
      <c r="N42" t="str">
        <f t="shared" si="0"/>
        <v>25-35</v>
      </c>
    </row>
    <row r="43" spans="1:14" x14ac:dyDescent="0.3">
      <c r="A43" s="3" t="s">
        <v>124</v>
      </c>
      <c r="B43" s="3" t="s">
        <v>125</v>
      </c>
      <c r="C43" s="3">
        <v>36</v>
      </c>
      <c r="D43" s="3" t="s">
        <v>24</v>
      </c>
      <c r="E43" s="3" t="s">
        <v>25</v>
      </c>
      <c r="F43" s="3" t="s">
        <v>26</v>
      </c>
      <c r="G43" s="3">
        <v>56000</v>
      </c>
      <c r="H43" s="3">
        <v>8</v>
      </c>
      <c r="I43" s="3" t="s">
        <v>27</v>
      </c>
      <c r="J43" s="3"/>
      <c r="K43" s="3">
        <v>4</v>
      </c>
      <c r="L43" s="3" t="s">
        <v>28</v>
      </c>
      <c r="M43" s="3" t="s">
        <v>29</v>
      </c>
      <c r="N43" t="str">
        <f t="shared" si="0"/>
        <v>36-45</v>
      </c>
    </row>
    <row r="44" spans="1:14" x14ac:dyDescent="0.3">
      <c r="A44" s="2" t="s">
        <v>126</v>
      </c>
      <c r="B44" s="2" t="s">
        <v>127</v>
      </c>
      <c r="C44" s="2">
        <v>27</v>
      </c>
      <c r="D44" s="2" t="s">
        <v>15</v>
      </c>
      <c r="E44" s="2" t="s">
        <v>32</v>
      </c>
      <c r="F44" s="2" t="s">
        <v>33</v>
      </c>
      <c r="G44" s="2">
        <v>41000</v>
      </c>
      <c r="H44" s="2">
        <v>2</v>
      </c>
      <c r="I44" s="2" t="s">
        <v>18</v>
      </c>
      <c r="J44" s="2" t="s">
        <v>34</v>
      </c>
      <c r="K44" s="2">
        <v>3</v>
      </c>
      <c r="L44" s="2" t="s">
        <v>20</v>
      </c>
      <c r="M44" s="2" t="s">
        <v>21</v>
      </c>
      <c r="N44" t="str">
        <f t="shared" si="0"/>
        <v>25-35</v>
      </c>
    </row>
    <row r="45" spans="1:14" x14ac:dyDescent="0.3">
      <c r="A45" s="3" t="s">
        <v>128</v>
      </c>
      <c r="B45" s="3" t="s">
        <v>129</v>
      </c>
      <c r="C45" s="3">
        <v>41</v>
      </c>
      <c r="D45" s="3" t="s">
        <v>24</v>
      </c>
      <c r="E45" s="3" t="s">
        <v>37</v>
      </c>
      <c r="F45" s="3" t="s">
        <v>38</v>
      </c>
      <c r="G45" s="3">
        <v>50000</v>
      </c>
      <c r="H45" s="3">
        <v>9</v>
      </c>
      <c r="I45" s="3" t="s">
        <v>27</v>
      </c>
      <c r="J45" s="3"/>
      <c r="K45" s="3">
        <v>5</v>
      </c>
      <c r="L45" s="3" t="s">
        <v>28</v>
      </c>
      <c r="M45" s="3" t="s">
        <v>39</v>
      </c>
      <c r="N45" t="str">
        <f t="shared" si="0"/>
        <v>36-45</v>
      </c>
    </row>
    <row r="46" spans="1:14" x14ac:dyDescent="0.3">
      <c r="A46" s="2" t="s">
        <v>130</v>
      </c>
      <c r="B46" s="2" t="s">
        <v>131</v>
      </c>
      <c r="C46" s="2">
        <v>29</v>
      </c>
      <c r="D46" s="2" t="s">
        <v>15</v>
      </c>
      <c r="E46" s="2" t="s">
        <v>47</v>
      </c>
      <c r="F46" s="2" t="s">
        <v>48</v>
      </c>
      <c r="G46" s="2">
        <v>34000</v>
      </c>
      <c r="H46" s="2">
        <v>2</v>
      </c>
      <c r="I46" s="2" t="s">
        <v>18</v>
      </c>
      <c r="J46" s="2" t="s">
        <v>12</v>
      </c>
      <c r="K46" s="2">
        <v>2</v>
      </c>
      <c r="L46" s="2" t="s">
        <v>20</v>
      </c>
      <c r="M46" s="2" t="s">
        <v>21</v>
      </c>
      <c r="N46" t="str">
        <f t="shared" si="0"/>
        <v>25-35</v>
      </c>
    </row>
    <row r="47" spans="1:14" x14ac:dyDescent="0.3">
      <c r="A47" s="3" t="s">
        <v>132</v>
      </c>
      <c r="B47" s="3" t="s">
        <v>133</v>
      </c>
      <c r="C47" s="3">
        <v>47</v>
      </c>
      <c r="D47" s="3" t="s">
        <v>24</v>
      </c>
      <c r="E47" s="3" t="s">
        <v>32</v>
      </c>
      <c r="F47" s="3" t="s">
        <v>44</v>
      </c>
      <c r="G47" s="3">
        <v>76000</v>
      </c>
      <c r="H47" s="3">
        <v>13</v>
      </c>
      <c r="I47" s="3" t="s">
        <v>27</v>
      </c>
      <c r="J47" s="3"/>
      <c r="K47" s="3">
        <v>5</v>
      </c>
      <c r="L47" s="3" t="s">
        <v>28</v>
      </c>
      <c r="M47" s="3" t="s">
        <v>29</v>
      </c>
      <c r="N47" t="str">
        <f t="shared" si="0"/>
        <v>46+</v>
      </c>
    </row>
    <row r="48" spans="1:14" x14ac:dyDescent="0.3">
      <c r="A48" s="2" t="s">
        <v>134</v>
      </c>
      <c r="B48" s="2" t="s">
        <v>135</v>
      </c>
      <c r="C48" s="2">
        <v>26</v>
      </c>
      <c r="D48" s="2" t="s">
        <v>15</v>
      </c>
      <c r="E48" s="2" t="s">
        <v>16</v>
      </c>
      <c r="F48" s="2" t="s">
        <v>17</v>
      </c>
      <c r="G48" s="2">
        <v>29000</v>
      </c>
      <c r="H48" s="2">
        <v>1</v>
      </c>
      <c r="I48" s="2" t="s">
        <v>18</v>
      </c>
      <c r="J48" s="2" t="s">
        <v>19</v>
      </c>
      <c r="K48" s="2">
        <v>2</v>
      </c>
      <c r="L48" s="2" t="s">
        <v>20</v>
      </c>
      <c r="M48" s="2" t="s">
        <v>21</v>
      </c>
      <c r="N48" t="str">
        <f t="shared" si="0"/>
        <v>25-35</v>
      </c>
    </row>
    <row r="49" spans="1:14" x14ac:dyDescent="0.3">
      <c r="A49" s="3" t="s">
        <v>136</v>
      </c>
      <c r="B49" s="3" t="s">
        <v>137</v>
      </c>
      <c r="C49" s="3">
        <v>38</v>
      </c>
      <c r="D49" s="3" t="s">
        <v>24</v>
      </c>
      <c r="E49" s="3" t="s">
        <v>25</v>
      </c>
      <c r="F49" s="3" t="s">
        <v>51</v>
      </c>
      <c r="G49" s="3">
        <v>40000</v>
      </c>
      <c r="H49" s="3">
        <v>6</v>
      </c>
      <c r="I49" s="3" t="s">
        <v>27</v>
      </c>
      <c r="J49" s="3"/>
      <c r="K49" s="3">
        <v>4</v>
      </c>
      <c r="L49" s="3" t="s">
        <v>28</v>
      </c>
      <c r="M49" s="3" t="s">
        <v>29</v>
      </c>
      <c r="N49" t="str">
        <f t="shared" si="0"/>
        <v>36-45</v>
      </c>
    </row>
    <row r="50" spans="1:14" x14ac:dyDescent="0.3">
      <c r="A50" s="2" t="s">
        <v>138</v>
      </c>
      <c r="B50" s="2" t="s">
        <v>139</v>
      </c>
      <c r="C50" s="2">
        <v>53</v>
      </c>
      <c r="D50" s="2" t="s">
        <v>15</v>
      </c>
      <c r="E50" s="2" t="s">
        <v>37</v>
      </c>
      <c r="F50" s="2" t="s">
        <v>54</v>
      </c>
      <c r="G50" s="2">
        <v>85000</v>
      </c>
      <c r="H50" s="2">
        <v>18</v>
      </c>
      <c r="I50" s="2" t="s">
        <v>27</v>
      </c>
      <c r="J50" s="2"/>
      <c r="K50" s="2">
        <v>5</v>
      </c>
      <c r="L50" s="2" t="s">
        <v>28</v>
      </c>
      <c r="M50" s="2" t="s">
        <v>39</v>
      </c>
      <c r="N50" t="str">
        <f t="shared" si="0"/>
        <v>46+</v>
      </c>
    </row>
    <row r="51" spans="1:14" x14ac:dyDescent="0.3">
      <c r="A51" s="3" t="s">
        <v>140</v>
      </c>
      <c r="B51" s="3" t="s">
        <v>141</v>
      </c>
      <c r="C51" s="3">
        <v>23</v>
      </c>
      <c r="D51" s="3" t="s">
        <v>24</v>
      </c>
      <c r="E51" s="3" t="s">
        <v>16</v>
      </c>
      <c r="F51" s="3" t="s">
        <v>17</v>
      </c>
      <c r="G51" s="3">
        <v>28000</v>
      </c>
      <c r="H51" s="3">
        <v>1</v>
      </c>
      <c r="I51" s="3" t="s">
        <v>18</v>
      </c>
      <c r="J51" s="3" t="s">
        <v>19</v>
      </c>
      <c r="K51" s="3">
        <v>2</v>
      </c>
      <c r="L51" s="3" t="s">
        <v>20</v>
      </c>
      <c r="M51" s="3" t="s">
        <v>21</v>
      </c>
      <c r="N51" t="str">
        <f t="shared" si="0"/>
        <v>Under 25</v>
      </c>
    </row>
    <row r="52" spans="1:14" x14ac:dyDescent="0.3">
      <c r="A52" s="2" t="s">
        <v>142</v>
      </c>
      <c r="B52" s="2" t="s">
        <v>143</v>
      </c>
      <c r="C52" s="2">
        <v>34</v>
      </c>
      <c r="D52" s="2" t="s">
        <v>15</v>
      </c>
      <c r="E52" s="2" t="s">
        <v>32</v>
      </c>
      <c r="F52" s="2" t="s">
        <v>69</v>
      </c>
      <c r="G52" s="2">
        <v>67000</v>
      </c>
      <c r="H52" s="2">
        <v>7</v>
      </c>
      <c r="I52" s="2" t="s">
        <v>27</v>
      </c>
      <c r="J52" s="2"/>
      <c r="K52" s="2">
        <v>5</v>
      </c>
      <c r="L52" s="2" t="s">
        <v>28</v>
      </c>
      <c r="M52" s="2" t="s">
        <v>29</v>
      </c>
      <c r="N52" t="str">
        <f t="shared" si="0"/>
        <v>25-35</v>
      </c>
    </row>
    <row r="53" spans="1:14" x14ac:dyDescent="0.3">
      <c r="A53" s="3" t="s">
        <v>144</v>
      </c>
      <c r="B53" s="3" t="s">
        <v>145</v>
      </c>
      <c r="C53" s="3">
        <v>27</v>
      </c>
      <c r="D53" s="3" t="s">
        <v>24</v>
      </c>
      <c r="E53" s="3" t="s">
        <v>47</v>
      </c>
      <c r="F53" s="3" t="s">
        <v>48</v>
      </c>
      <c r="G53" s="3">
        <v>35000</v>
      </c>
      <c r="H53" s="3">
        <v>2</v>
      </c>
      <c r="I53" s="3" t="s">
        <v>18</v>
      </c>
      <c r="J53" s="3" t="s">
        <v>12</v>
      </c>
      <c r="K53" s="3">
        <v>3</v>
      </c>
      <c r="L53" s="3" t="s">
        <v>20</v>
      </c>
      <c r="M53" s="3" t="s">
        <v>21</v>
      </c>
      <c r="N53" t="str">
        <f t="shared" si="0"/>
        <v>25-35</v>
      </c>
    </row>
    <row r="54" spans="1:14" x14ac:dyDescent="0.3">
      <c r="A54" s="2" t="s">
        <v>146</v>
      </c>
      <c r="B54" s="2" t="s">
        <v>147</v>
      </c>
      <c r="C54" s="2">
        <v>58</v>
      </c>
      <c r="D54" s="2" t="s">
        <v>15</v>
      </c>
      <c r="E54" s="2" t="s">
        <v>37</v>
      </c>
      <c r="F54" s="2" t="s">
        <v>64</v>
      </c>
      <c r="G54" s="2">
        <v>130000</v>
      </c>
      <c r="H54" s="2">
        <v>25</v>
      </c>
      <c r="I54" s="2" t="s">
        <v>27</v>
      </c>
      <c r="J54" s="2"/>
      <c r="K54" s="2">
        <v>5</v>
      </c>
      <c r="L54" s="2" t="s">
        <v>28</v>
      </c>
      <c r="M54" s="2" t="s">
        <v>39</v>
      </c>
      <c r="N54" t="str">
        <f t="shared" si="0"/>
        <v>46+</v>
      </c>
    </row>
    <row r="55" spans="1:14" x14ac:dyDescent="0.3">
      <c r="A55" s="3" t="s">
        <v>148</v>
      </c>
      <c r="B55" s="3" t="s">
        <v>149</v>
      </c>
      <c r="C55" s="3">
        <v>25</v>
      </c>
      <c r="D55" s="3" t="s">
        <v>24</v>
      </c>
      <c r="E55" s="3" t="s">
        <v>16</v>
      </c>
      <c r="F55" s="3" t="s">
        <v>17</v>
      </c>
      <c r="G55" s="3">
        <v>30000</v>
      </c>
      <c r="H55" s="3">
        <v>1</v>
      </c>
      <c r="I55" s="3" t="s">
        <v>18</v>
      </c>
      <c r="J55" s="3" t="s">
        <v>19</v>
      </c>
      <c r="K55" s="3">
        <v>2</v>
      </c>
      <c r="L55" s="3" t="s">
        <v>20</v>
      </c>
      <c r="M55" s="3" t="s">
        <v>21</v>
      </c>
      <c r="N55" t="str">
        <f t="shared" si="0"/>
        <v>25-35</v>
      </c>
    </row>
    <row r="56" spans="1:14" x14ac:dyDescent="0.3">
      <c r="A56" s="2" t="s">
        <v>150</v>
      </c>
      <c r="B56" s="2" t="s">
        <v>151</v>
      </c>
      <c r="C56" s="2">
        <v>39</v>
      </c>
      <c r="D56" s="2" t="s">
        <v>15</v>
      </c>
      <c r="E56" s="2" t="s">
        <v>32</v>
      </c>
      <c r="F56" s="2" t="s">
        <v>111</v>
      </c>
      <c r="G56" s="2">
        <v>90000</v>
      </c>
      <c r="H56" s="2">
        <v>11</v>
      </c>
      <c r="I56" s="2" t="s">
        <v>27</v>
      </c>
      <c r="J56" s="2"/>
      <c r="K56" s="2">
        <v>5</v>
      </c>
      <c r="L56" s="2" t="s">
        <v>28</v>
      </c>
      <c r="M56" s="2" t="s">
        <v>29</v>
      </c>
      <c r="N56" t="str">
        <f t="shared" si="0"/>
        <v>36-45</v>
      </c>
    </row>
    <row r="57" spans="1:14" x14ac:dyDescent="0.3">
      <c r="A57" s="3" t="s">
        <v>152</v>
      </c>
      <c r="B57" s="3" t="s">
        <v>153</v>
      </c>
      <c r="C57" s="3">
        <v>30</v>
      </c>
      <c r="D57" s="3" t="s">
        <v>24</v>
      </c>
      <c r="E57" s="3" t="s">
        <v>25</v>
      </c>
      <c r="F57" s="3" t="s">
        <v>51</v>
      </c>
      <c r="G57" s="3">
        <v>37000</v>
      </c>
      <c r="H57" s="3">
        <v>3</v>
      </c>
      <c r="I57" s="3" t="s">
        <v>18</v>
      </c>
      <c r="J57" s="3" t="s">
        <v>34</v>
      </c>
      <c r="K57" s="3">
        <v>3</v>
      </c>
      <c r="L57" s="3" t="s">
        <v>20</v>
      </c>
      <c r="M57" s="3" t="s">
        <v>61</v>
      </c>
      <c r="N57" t="str">
        <f t="shared" si="0"/>
        <v>25-35</v>
      </c>
    </row>
    <row r="58" spans="1:14" x14ac:dyDescent="0.3">
      <c r="A58" s="2" t="s">
        <v>154</v>
      </c>
      <c r="B58" s="2" t="s">
        <v>155</v>
      </c>
      <c r="C58" s="2">
        <v>44</v>
      </c>
      <c r="D58" s="2" t="s">
        <v>15</v>
      </c>
      <c r="E58" s="2" t="s">
        <v>47</v>
      </c>
      <c r="F58" s="2" t="s">
        <v>74</v>
      </c>
      <c r="G58" s="2">
        <v>68000</v>
      </c>
      <c r="H58" s="2">
        <v>12</v>
      </c>
      <c r="I58" s="2" t="s">
        <v>27</v>
      </c>
      <c r="J58" s="2"/>
      <c r="K58" s="2">
        <v>4</v>
      </c>
      <c r="L58" s="2" t="s">
        <v>28</v>
      </c>
      <c r="M58" s="2" t="s">
        <v>29</v>
      </c>
      <c r="N58" t="str">
        <f t="shared" si="0"/>
        <v>36-45</v>
      </c>
    </row>
    <row r="59" spans="1:14" x14ac:dyDescent="0.3">
      <c r="A59" s="3" t="s">
        <v>156</v>
      </c>
      <c r="B59" s="3" t="s">
        <v>157</v>
      </c>
      <c r="C59" s="3">
        <v>24</v>
      </c>
      <c r="D59" s="3" t="s">
        <v>24</v>
      </c>
      <c r="E59" s="3" t="s">
        <v>16</v>
      </c>
      <c r="F59" s="3" t="s">
        <v>17</v>
      </c>
      <c r="G59" s="3">
        <v>29000</v>
      </c>
      <c r="H59" s="3">
        <v>1</v>
      </c>
      <c r="I59" s="3" t="s">
        <v>18</v>
      </c>
      <c r="J59" s="3" t="s">
        <v>19</v>
      </c>
      <c r="K59" s="3">
        <v>2</v>
      </c>
      <c r="L59" s="3" t="s">
        <v>20</v>
      </c>
      <c r="M59" s="3" t="s">
        <v>21</v>
      </c>
      <c r="N59" t="str">
        <f t="shared" si="0"/>
        <v>Under 25</v>
      </c>
    </row>
    <row r="60" spans="1:14" x14ac:dyDescent="0.3">
      <c r="A60" s="2" t="s">
        <v>158</v>
      </c>
      <c r="B60" s="2" t="s">
        <v>159</v>
      </c>
      <c r="C60" s="2">
        <v>49</v>
      </c>
      <c r="D60" s="2" t="s">
        <v>15</v>
      </c>
      <c r="E60" s="2" t="s">
        <v>37</v>
      </c>
      <c r="F60" s="2" t="s">
        <v>38</v>
      </c>
      <c r="G60" s="2">
        <v>53000</v>
      </c>
      <c r="H60" s="2">
        <v>14</v>
      </c>
      <c r="I60" s="2" t="s">
        <v>27</v>
      </c>
      <c r="J60" s="2"/>
      <c r="K60" s="2">
        <v>4</v>
      </c>
      <c r="L60" s="2" t="s">
        <v>28</v>
      </c>
      <c r="M60" s="2" t="s">
        <v>29</v>
      </c>
      <c r="N60" t="str">
        <f t="shared" si="0"/>
        <v>46+</v>
      </c>
    </row>
    <row r="61" spans="1:14" x14ac:dyDescent="0.3">
      <c r="A61" s="3" t="s">
        <v>160</v>
      </c>
      <c r="B61" s="3" t="s">
        <v>161</v>
      </c>
      <c r="C61" s="3">
        <v>32</v>
      </c>
      <c r="D61" s="3" t="s">
        <v>24</v>
      </c>
      <c r="E61" s="3" t="s">
        <v>32</v>
      </c>
      <c r="F61" s="3" t="s">
        <v>33</v>
      </c>
      <c r="G61" s="3">
        <v>44000</v>
      </c>
      <c r="H61" s="3">
        <v>4</v>
      </c>
      <c r="I61" s="3" t="s">
        <v>27</v>
      </c>
      <c r="J61" s="3"/>
      <c r="K61" s="3">
        <v>4</v>
      </c>
      <c r="L61" s="3" t="s">
        <v>28</v>
      </c>
      <c r="M61" s="3" t="s">
        <v>61</v>
      </c>
      <c r="N61" t="str">
        <f t="shared" si="0"/>
        <v>25-35</v>
      </c>
    </row>
    <row r="62" spans="1:14" x14ac:dyDescent="0.3">
      <c r="A62" s="2" t="s">
        <v>162</v>
      </c>
      <c r="B62" s="2" t="s">
        <v>163</v>
      </c>
      <c r="C62" s="2">
        <v>26</v>
      </c>
      <c r="D62" s="2" t="s">
        <v>15</v>
      </c>
      <c r="E62" s="2" t="s">
        <v>16</v>
      </c>
      <c r="F62" s="2" t="s">
        <v>17</v>
      </c>
      <c r="G62" s="2">
        <v>30000</v>
      </c>
      <c r="H62" s="2">
        <v>1</v>
      </c>
      <c r="I62" s="2" t="s">
        <v>18</v>
      </c>
      <c r="J62" s="2" t="s">
        <v>19</v>
      </c>
      <c r="K62" s="2">
        <v>2</v>
      </c>
      <c r="L62" s="2" t="s">
        <v>20</v>
      </c>
      <c r="M62" s="2" t="s">
        <v>21</v>
      </c>
      <c r="N62" t="str">
        <f t="shared" si="0"/>
        <v>25-35</v>
      </c>
    </row>
    <row r="63" spans="1:14" x14ac:dyDescent="0.3">
      <c r="A63" s="3" t="s">
        <v>164</v>
      </c>
      <c r="B63" s="3" t="s">
        <v>165</v>
      </c>
      <c r="C63" s="3">
        <v>35</v>
      </c>
      <c r="D63" s="3" t="s">
        <v>24</v>
      </c>
      <c r="E63" s="3" t="s">
        <v>25</v>
      </c>
      <c r="F63" s="3" t="s">
        <v>26</v>
      </c>
      <c r="G63" s="3">
        <v>57000</v>
      </c>
      <c r="H63" s="3">
        <v>7</v>
      </c>
      <c r="I63" s="3" t="s">
        <v>27</v>
      </c>
      <c r="J63" s="3"/>
      <c r="K63" s="3">
        <v>4</v>
      </c>
      <c r="L63" s="3" t="s">
        <v>28</v>
      </c>
      <c r="M63" s="3" t="s">
        <v>29</v>
      </c>
      <c r="N63" t="str">
        <f t="shared" si="0"/>
        <v>25-35</v>
      </c>
    </row>
    <row r="64" spans="1:14" x14ac:dyDescent="0.3">
      <c r="A64" s="2" t="s">
        <v>166</v>
      </c>
      <c r="B64" s="2" t="s">
        <v>167</v>
      </c>
      <c r="C64" s="2">
        <v>28</v>
      </c>
      <c r="D64" s="2" t="s">
        <v>15</v>
      </c>
      <c r="E64" s="2" t="s">
        <v>32</v>
      </c>
      <c r="F64" s="2" t="s">
        <v>33</v>
      </c>
      <c r="G64" s="2">
        <v>42000</v>
      </c>
      <c r="H64" s="2">
        <v>2</v>
      </c>
      <c r="I64" s="2" t="s">
        <v>18</v>
      </c>
      <c r="J64" s="2" t="s">
        <v>34</v>
      </c>
      <c r="K64" s="2">
        <v>3</v>
      </c>
      <c r="L64" s="2" t="s">
        <v>20</v>
      </c>
      <c r="M64" s="2" t="s">
        <v>21</v>
      </c>
      <c r="N64" t="str">
        <f t="shared" si="0"/>
        <v>25-35</v>
      </c>
    </row>
    <row r="65" spans="1:14" x14ac:dyDescent="0.3">
      <c r="A65" s="3" t="s">
        <v>168</v>
      </c>
      <c r="B65" s="3" t="s">
        <v>169</v>
      </c>
      <c r="C65" s="3">
        <v>43</v>
      </c>
      <c r="D65" s="3" t="s">
        <v>24</v>
      </c>
      <c r="E65" s="3" t="s">
        <v>37</v>
      </c>
      <c r="F65" s="3" t="s">
        <v>38</v>
      </c>
      <c r="G65" s="3">
        <v>51000</v>
      </c>
      <c r="H65" s="3">
        <v>10</v>
      </c>
      <c r="I65" s="3" t="s">
        <v>27</v>
      </c>
      <c r="J65" s="3"/>
      <c r="K65" s="3">
        <v>5</v>
      </c>
      <c r="L65" s="3" t="s">
        <v>28</v>
      </c>
      <c r="M65" s="3" t="s">
        <v>39</v>
      </c>
      <c r="N65" t="str">
        <f t="shared" si="0"/>
        <v>36-45</v>
      </c>
    </row>
    <row r="66" spans="1:14" x14ac:dyDescent="0.3">
      <c r="A66" s="2" t="s">
        <v>170</v>
      </c>
      <c r="B66" s="2" t="s">
        <v>171</v>
      </c>
      <c r="C66" s="2">
        <v>27</v>
      </c>
      <c r="D66" s="2" t="s">
        <v>15</v>
      </c>
      <c r="E66" s="2" t="s">
        <v>47</v>
      </c>
      <c r="F66" s="2" t="s">
        <v>48</v>
      </c>
      <c r="G66" s="2">
        <v>33000</v>
      </c>
      <c r="H66" s="2">
        <v>2</v>
      </c>
      <c r="I66" s="2" t="s">
        <v>18</v>
      </c>
      <c r="J66" s="2" t="s">
        <v>12</v>
      </c>
      <c r="K66" s="2">
        <v>2</v>
      </c>
      <c r="L66" s="2" t="s">
        <v>20</v>
      </c>
      <c r="M66" s="2" t="s">
        <v>21</v>
      </c>
      <c r="N66" t="str">
        <f t="shared" si="0"/>
        <v>25-35</v>
      </c>
    </row>
    <row r="67" spans="1:14" x14ac:dyDescent="0.3">
      <c r="A67" s="3" t="s">
        <v>172</v>
      </c>
      <c r="B67" s="3" t="s">
        <v>173</v>
      </c>
      <c r="C67" s="3">
        <v>48</v>
      </c>
      <c r="D67" s="3" t="s">
        <v>24</v>
      </c>
      <c r="E67" s="3" t="s">
        <v>32</v>
      </c>
      <c r="F67" s="3" t="s">
        <v>44</v>
      </c>
      <c r="G67" s="3">
        <v>77000</v>
      </c>
      <c r="H67" s="3">
        <v>14</v>
      </c>
      <c r="I67" s="3" t="s">
        <v>27</v>
      </c>
      <c r="J67" s="3"/>
      <c r="K67" s="3">
        <v>5</v>
      </c>
      <c r="L67" s="3" t="s">
        <v>28</v>
      </c>
      <c r="M67" s="3" t="s">
        <v>29</v>
      </c>
      <c r="N67" t="str">
        <f t="shared" ref="N67:N101" si="1">IF(C67&lt;25,"Under 25",IF(C67&lt;=35,"25-35",IF(C67&lt;=45,"36-45","46+")))</f>
        <v>46+</v>
      </c>
    </row>
    <row r="68" spans="1:14" x14ac:dyDescent="0.3">
      <c r="A68" s="2" t="s">
        <v>174</v>
      </c>
      <c r="B68" s="2" t="s">
        <v>175</v>
      </c>
      <c r="C68" s="2">
        <v>25</v>
      </c>
      <c r="D68" s="2" t="s">
        <v>15</v>
      </c>
      <c r="E68" s="2" t="s">
        <v>16</v>
      </c>
      <c r="F68" s="2" t="s">
        <v>17</v>
      </c>
      <c r="G68" s="2">
        <v>28000</v>
      </c>
      <c r="H68" s="2">
        <v>1</v>
      </c>
      <c r="I68" s="2" t="s">
        <v>18</v>
      </c>
      <c r="J68" s="2" t="s">
        <v>19</v>
      </c>
      <c r="K68" s="2">
        <v>2</v>
      </c>
      <c r="L68" s="2" t="s">
        <v>20</v>
      </c>
      <c r="M68" s="2" t="s">
        <v>21</v>
      </c>
      <c r="N68" t="str">
        <f t="shared" si="1"/>
        <v>25-35</v>
      </c>
    </row>
    <row r="69" spans="1:14" x14ac:dyDescent="0.3">
      <c r="A69" s="3" t="s">
        <v>176</v>
      </c>
      <c r="B69" s="3" t="s">
        <v>177</v>
      </c>
      <c r="C69" s="3">
        <v>40</v>
      </c>
      <c r="D69" s="3" t="s">
        <v>24</v>
      </c>
      <c r="E69" s="3" t="s">
        <v>25</v>
      </c>
      <c r="F69" s="3" t="s">
        <v>51</v>
      </c>
      <c r="G69" s="3">
        <v>41000</v>
      </c>
      <c r="H69" s="3">
        <v>7</v>
      </c>
      <c r="I69" s="3" t="s">
        <v>27</v>
      </c>
      <c r="J69" s="3"/>
      <c r="K69" s="3">
        <v>4</v>
      </c>
      <c r="L69" s="3" t="s">
        <v>28</v>
      </c>
      <c r="M69" s="3" t="s">
        <v>29</v>
      </c>
      <c r="N69" t="str">
        <f t="shared" si="1"/>
        <v>36-45</v>
      </c>
    </row>
    <row r="70" spans="1:14" x14ac:dyDescent="0.3">
      <c r="A70" s="2" t="s">
        <v>178</v>
      </c>
      <c r="B70" s="2" t="s">
        <v>179</v>
      </c>
      <c r="C70" s="2">
        <v>54</v>
      </c>
      <c r="D70" s="2" t="s">
        <v>15</v>
      </c>
      <c r="E70" s="2" t="s">
        <v>37</v>
      </c>
      <c r="F70" s="2" t="s">
        <v>54</v>
      </c>
      <c r="G70" s="2">
        <v>86000</v>
      </c>
      <c r="H70" s="2">
        <v>19</v>
      </c>
      <c r="I70" s="2" t="s">
        <v>27</v>
      </c>
      <c r="J70" s="2"/>
      <c r="K70" s="2">
        <v>5</v>
      </c>
      <c r="L70" s="2" t="s">
        <v>28</v>
      </c>
      <c r="M70" s="2" t="s">
        <v>39</v>
      </c>
      <c r="N70" t="str">
        <f t="shared" si="1"/>
        <v>46+</v>
      </c>
    </row>
    <row r="71" spans="1:14" x14ac:dyDescent="0.3">
      <c r="A71" s="3" t="s">
        <v>180</v>
      </c>
      <c r="B71" s="3" t="s">
        <v>181</v>
      </c>
      <c r="C71" s="3">
        <v>23</v>
      </c>
      <c r="D71" s="3" t="s">
        <v>24</v>
      </c>
      <c r="E71" s="3" t="s">
        <v>16</v>
      </c>
      <c r="F71" s="3" t="s">
        <v>17</v>
      </c>
      <c r="G71" s="3">
        <v>27000</v>
      </c>
      <c r="H71" s="3">
        <v>1</v>
      </c>
      <c r="I71" s="3" t="s">
        <v>18</v>
      </c>
      <c r="J71" s="3" t="s">
        <v>19</v>
      </c>
      <c r="K71" s="3">
        <v>2</v>
      </c>
      <c r="L71" s="3" t="s">
        <v>20</v>
      </c>
      <c r="M71" s="3" t="s">
        <v>21</v>
      </c>
      <c r="N71" t="str">
        <f t="shared" si="1"/>
        <v>Under 25</v>
      </c>
    </row>
    <row r="72" spans="1:14" x14ac:dyDescent="0.3">
      <c r="A72" s="2" t="s">
        <v>182</v>
      </c>
      <c r="B72" s="2" t="s">
        <v>183</v>
      </c>
      <c r="C72" s="2">
        <v>33</v>
      </c>
      <c r="D72" s="2" t="s">
        <v>15</v>
      </c>
      <c r="E72" s="2" t="s">
        <v>32</v>
      </c>
      <c r="F72" s="2" t="s">
        <v>69</v>
      </c>
      <c r="G72" s="2">
        <v>65000</v>
      </c>
      <c r="H72" s="2">
        <v>6</v>
      </c>
      <c r="I72" s="2" t="s">
        <v>27</v>
      </c>
      <c r="J72" s="2"/>
      <c r="K72" s="2">
        <v>4</v>
      </c>
      <c r="L72" s="2" t="s">
        <v>28</v>
      </c>
      <c r="M72" s="2" t="s">
        <v>29</v>
      </c>
      <c r="N72" t="str">
        <f t="shared" si="1"/>
        <v>25-35</v>
      </c>
    </row>
    <row r="73" spans="1:14" x14ac:dyDescent="0.3">
      <c r="A73" s="3" t="s">
        <v>184</v>
      </c>
      <c r="B73" s="3" t="s">
        <v>185</v>
      </c>
      <c r="C73" s="3">
        <v>28</v>
      </c>
      <c r="D73" s="3" t="s">
        <v>24</v>
      </c>
      <c r="E73" s="3" t="s">
        <v>47</v>
      </c>
      <c r="F73" s="3" t="s">
        <v>48</v>
      </c>
      <c r="G73" s="3">
        <v>36000</v>
      </c>
      <c r="H73" s="3">
        <v>2</v>
      </c>
      <c r="I73" s="3" t="s">
        <v>18</v>
      </c>
      <c r="J73" s="3" t="s">
        <v>12</v>
      </c>
      <c r="K73" s="3">
        <v>3</v>
      </c>
      <c r="L73" s="3" t="s">
        <v>20</v>
      </c>
      <c r="M73" s="3" t="s">
        <v>21</v>
      </c>
      <c r="N73" t="str">
        <f t="shared" si="1"/>
        <v>25-35</v>
      </c>
    </row>
    <row r="74" spans="1:14" x14ac:dyDescent="0.3">
      <c r="A74" s="2" t="s">
        <v>186</v>
      </c>
      <c r="B74" s="2" t="s">
        <v>187</v>
      </c>
      <c r="C74" s="2">
        <v>57</v>
      </c>
      <c r="D74" s="2" t="s">
        <v>15</v>
      </c>
      <c r="E74" s="2" t="s">
        <v>37</v>
      </c>
      <c r="F74" s="2" t="s">
        <v>64</v>
      </c>
      <c r="G74" s="2">
        <v>128000</v>
      </c>
      <c r="H74" s="2">
        <v>24</v>
      </c>
      <c r="I74" s="2" t="s">
        <v>27</v>
      </c>
      <c r="J74" s="2"/>
      <c r="K74" s="2">
        <v>5</v>
      </c>
      <c r="L74" s="2" t="s">
        <v>28</v>
      </c>
      <c r="M74" s="2" t="s">
        <v>39</v>
      </c>
      <c r="N74" t="str">
        <f t="shared" si="1"/>
        <v>46+</v>
      </c>
    </row>
    <row r="75" spans="1:14" x14ac:dyDescent="0.3">
      <c r="A75" s="3" t="s">
        <v>188</v>
      </c>
      <c r="B75" s="3" t="s">
        <v>189</v>
      </c>
      <c r="C75" s="3">
        <v>26</v>
      </c>
      <c r="D75" s="3" t="s">
        <v>24</v>
      </c>
      <c r="E75" s="3" t="s">
        <v>16</v>
      </c>
      <c r="F75" s="3" t="s">
        <v>17</v>
      </c>
      <c r="G75" s="3">
        <v>29000</v>
      </c>
      <c r="H75" s="3">
        <v>1</v>
      </c>
      <c r="I75" s="3" t="s">
        <v>18</v>
      </c>
      <c r="J75" s="3" t="s">
        <v>19</v>
      </c>
      <c r="K75" s="3">
        <v>2</v>
      </c>
      <c r="L75" s="3" t="s">
        <v>20</v>
      </c>
      <c r="M75" s="3" t="s">
        <v>21</v>
      </c>
      <c r="N75" t="str">
        <f t="shared" si="1"/>
        <v>25-35</v>
      </c>
    </row>
    <row r="76" spans="1:14" x14ac:dyDescent="0.3">
      <c r="A76" s="2" t="s">
        <v>190</v>
      </c>
      <c r="B76" s="2" t="s">
        <v>191</v>
      </c>
      <c r="C76" s="2">
        <v>38</v>
      </c>
      <c r="D76" s="2" t="s">
        <v>15</v>
      </c>
      <c r="E76" s="2" t="s">
        <v>32</v>
      </c>
      <c r="F76" s="2" t="s">
        <v>111</v>
      </c>
      <c r="G76" s="2">
        <v>89000</v>
      </c>
      <c r="H76" s="2">
        <v>10</v>
      </c>
      <c r="I76" s="2" t="s">
        <v>27</v>
      </c>
      <c r="J76" s="2"/>
      <c r="K76" s="2">
        <v>5</v>
      </c>
      <c r="L76" s="2" t="s">
        <v>28</v>
      </c>
      <c r="M76" s="2" t="s">
        <v>29</v>
      </c>
      <c r="N76" t="str">
        <f t="shared" si="1"/>
        <v>36-45</v>
      </c>
    </row>
    <row r="77" spans="1:14" x14ac:dyDescent="0.3">
      <c r="A77" s="3" t="s">
        <v>192</v>
      </c>
      <c r="B77" s="3" t="s">
        <v>193</v>
      </c>
      <c r="C77" s="3">
        <v>29</v>
      </c>
      <c r="D77" s="3" t="s">
        <v>24</v>
      </c>
      <c r="E77" s="3" t="s">
        <v>25</v>
      </c>
      <c r="F77" s="3" t="s">
        <v>51</v>
      </c>
      <c r="G77" s="3">
        <v>38000</v>
      </c>
      <c r="H77" s="3">
        <v>3</v>
      </c>
      <c r="I77" s="3" t="s">
        <v>18</v>
      </c>
      <c r="J77" s="3" t="s">
        <v>34</v>
      </c>
      <c r="K77" s="3">
        <v>3</v>
      </c>
      <c r="L77" s="3" t="s">
        <v>20</v>
      </c>
      <c r="M77" s="3" t="s">
        <v>61</v>
      </c>
      <c r="N77" t="str">
        <f t="shared" si="1"/>
        <v>25-35</v>
      </c>
    </row>
    <row r="78" spans="1:14" x14ac:dyDescent="0.3">
      <c r="A78" s="2" t="s">
        <v>194</v>
      </c>
      <c r="B78" s="2" t="s">
        <v>195</v>
      </c>
      <c r="C78" s="2">
        <v>45</v>
      </c>
      <c r="D78" s="2" t="s">
        <v>15</v>
      </c>
      <c r="E78" s="2" t="s">
        <v>47</v>
      </c>
      <c r="F78" s="2" t="s">
        <v>74</v>
      </c>
      <c r="G78" s="2">
        <v>66000</v>
      </c>
      <c r="H78" s="2">
        <v>11</v>
      </c>
      <c r="I78" s="2" t="s">
        <v>27</v>
      </c>
      <c r="J78" s="2"/>
      <c r="K78" s="2">
        <v>4</v>
      </c>
      <c r="L78" s="2" t="s">
        <v>28</v>
      </c>
      <c r="M78" s="2" t="s">
        <v>29</v>
      </c>
      <c r="N78" t="str">
        <f t="shared" si="1"/>
        <v>36-45</v>
      </c>
    </row>
    <row r="79" spans="1:14" x14ac:dyDescent="0.3">
      <c r="A79" s="3" t="s">
        <v>196</v>
      </c>
      <c r="B79" s="3" t="s">
        <v>197</v>
      </c>
      <c r="C79" s="3">
        <v>24</v>
      </c>
      <c r="D79" s="3" t="s">
        <v>24</v>
      </c>
      <c r="E79" s="3" t="s">
        <v>16</v>
      </c>
      <c r="F79" s="3" t="s">
        <v>17</v>
      </c>
      <c r="G79" s="3">
        <v>28000</v>
      </c>
      <c r="H79" s="3">
        <v>1</v>
      </c>
      <c r="I79" s="3" t="s">
        <v>18</v>
      </c>
      <c r="J79" s="3" t="s">
        <v>19</v>
      </c>
      <c r="K79" s="3">
        <v>2</v>
      </c>
      <c r="L79" s="3" t="s">
        <v>20</v>
      </c>
      <c r="M79" s="3" t="s">
        <v>21</v>
      </c>
      <c r="N79" t="str">
        <f t="shared" si="1"/>
        <v>Under 25</v>
      </c>
    </row>
    <row r="80" spans="1:14" x14ac:dyDescent="0.3">
      <c r="A80" s="2" t="s">
        <v>198</v>
      </c>
      <c r="B80" s="2" t="s">
        <v>199</v>
      </c>
      <c r="C80" s="2">
        <v>51</v>
      </c>
      <c r="D80" s="2" t="s">
        <v>15</v>
      </c>
      <c r="E80" s="2" t="s">
        <v>37</v>
      </c>
      <c r="F80" s="2" t="s">
        <v>38</v>
      </c>
      <c r="G80" s="2">
        <v>54000</v>
      </c>
      <c r="H80" s="2">
        <v>15</v>
      </c>
      <c r="I80" s="2" t="s">
        <v>27</v>
      </c>
      <c r="J80" s="2"/>
      <c r="K80" s="2">
        <v>4</v>
      </c>
      <c r="L80" s="2" t="s">
        <v>28</v>
      </c>
      <c r="M80" s="2" t="s">
        <v>29</v>
      </c>
      <c r="N80" t="str">
        <f t="shared" si="1"/>
        <v>46+</v>
      </c>
    </row>
    <row r="81" spans="1:14" x14ac:dyDescent="0.3">
      <c r="A81" s="3" t="s">
        <v>200</v>
      </c>
      <c r="B81" s="3" t="s">
        <v>201</v>
      </c>
      <c r="C81" s="3">
        <v>31</v>
      </c>
      <c r="D81" s="3" t="s">
        <v>24</v>
      </c>
      <c r="E81" s="3" t="s">
        <v>32</v>
      </c>
      <c r="F81" s="3" t="s">
        <v>33</v>
      </c>
      <c r="G81" s="3">
        <v>43000</v>
      </c>
      <c r="H81" s="3">
        <v>4</v>
      </c>
      <c r="I81" s="3" t="s">
        <v>27</v>
      </c>
      <c r="J81" s="3"/>
      <c r="K81" s="3">
        <v>4</v>
      </c>
      <c r="L81" s="3" t="s">
        <v>28</v>
      </c>
      <c r="M81" s="3" t="s">
        <v>61</v>
      </c>
      <c r="N81" t="str">
        <f t="shared" si="1"/>
        <v>25-35</v>
      </c>
    </row>
    <row r="82" spans="1:14" x14ac:dyDescent="0.3">
      <c r="A82" s="2" t="s">
        <v>202</v>
      </c>
      <c r="B82" s="2" t="s">
        <v>203</v>
      </c>
      <c r="C82" s="2">
        <v>27</v>
      </c>
      <c r="D82" s="2" t="s">
        <v>15</v>
      </c>
      <c r="E82" s="2" t="s">
        <v>16</v>
      </c>
      <c r="F82" s="2" t="s">
        <v>17</v>
      </c>
      <c r="G82" s="2">
        <v>31000</v>
      </c>
      <c r="H82" s="2">
        <v>2</v>
      </c>
      <c r="I82" s="2" t="s">
        <v>18</v>
      </c>
      <c r="J82" s="2" t="s">
        <v>19</v>
      </c>
      <c r="K82" s="2">
        <v>2</v>
      </c>
      <c r="L82" s="2" t="s">
        <v>20</v>
      </c>
      <c r="M82" s="2" t="s">
        <v>21</v>
      </c>
      <c r="N82" t="str">
        <f t="shared" si="1"/>
        <v>25-35</v>
      </c>
    </row>
    <row r="83" spans="1:14" x14ac:dyDescent="0.3">
      <c r="A83" s="3" t="s">
        <v>204</v>
      </c>
      <c r="B83" s="3" t="s">
        <v>205</v>
      </c>
      <c r="C83" s="3">
        <v>36</v>
      </c>
      <c r="D83" s="3" t="s">
        <v>24</v>
      </c>
      <c r="E83" s="3" t="s">
        <v>37</v>
      </c>
      <c r="F83" s="3" t="s">
        <v>38</v>
      </c>
      <c r="G83" s="3">
        <v>49000</v>
      </c>
      <c r="H83" s="3">
        <v>6</v>
      </c>
      <c r="I83" s="3" t="s">
        <v>27</v>
      </c>
      <c r="J83" s="3"/>
      <c r="K83" s="3">
        <v>4</v>
      </c>
      <c r="L83" s="3" t="s">
        <v>28</v>
      </c>
      <c r="M83" s="3" t="s">
        <v>29</v>
      </c>
      <c r="N83" t="str">
        <f t="shared" si="1"/>
        <v>36-45</v>
      </c>
    </row>
    <row r="84" spans="1:14" x14ac:dyDescent="0.3">
      <c r="A84" s="2" t="s">
        <v>206</v>
      </c>
      <c r="B84" s="2" t="s">
        <v>207</v>
      </c>
      <c r="C84" s="2">
        <v>25</v>
      </c>
      <c r="D84" s="2" t="s">
        <v>15</v>
      </c>
      <c r="E84" s="2" t="s">
        <v>32</v>
      </c>
      <c r="F84" s="2" t="s">
        <v>33</v>
      </c>
      <c r="G84" s="2">
        <v>39000</v>
      </c>
      <c r="H84" s="2">
        <v>1</v>
      </c>
      <c r="I84" s="2" t="s">
        <v>18</v>
      </c>
      <c r="J84" s="2" t="s">
        <v>34</v>
      </c>
      <c r="K84" s="2">
        <v>3</v>
      </c>
      <c r="L84" s="2" t="s">
        <v>20</v>
      </c>
      <c r="M84" s="2" t="s">
        <v>21</v>
      </c>
      <c r="N84" t="str">
        <f t="shared" si="1"/>
        <v>25-35</v>
      </c>
    </row>
    <row r="85" spans="1:14" x14ac:dyDescent="0.3">
      <c r="A85" s="3" t="s">
        <v>208</v>
      </c>
      <c r="B85" s="3" t="s">
        <v>209</v>
      </c>
      <c r="C85" s="3">
        <v>33</v>
      </c>
      <c r="D85" s="3" t="s">
        <v>24</v>
      </c>
      <c r="E85" s="3" t="s">
        <v>25</v>
      </c>
      <c r="F85" s="3" t="s">
        <v>51</v>
      </c>
      <c r="G85" s="3">
        <v>38000</v>
      </c>
      <c r="H85" s="3">
        <v>4</v>
      </c>
      <c r="I85" s="3" t="s">
        <v>27</v>
      </c>
      <c r="J85" s="3"/>
      <c r="K85" s="3">
        <v>4</v>
      </c>
      <c r="L85" s="3" t="s">
        <v>28</v>
      </c>
      <c r="M85" s="3" t="s">
        <v>29</v>
      </c>
      <c r="N85" t="str">
        <f t="shared" si="1"/>
        <v>25-35</v>
      </c>
    </row>
    <row r="86" spans="1:14" x14ac:dyDescent="0.3">
      <c r="A86" s="2" t="s">
        <v>210</v>
      </c>
      <c r="B86" s="2" t="s">
        <v>211</v>
      </c>
      <c r="C86" s="2">
        <v>30</v>
      </c>
      <c r="D86" s="2" t="s">
        <v>15</v>
      </c>
      <c r="E86" s="2" t="s">
        <v>47</v>
      </c>
      <c r="F86" s="2" t="s">
        <v>48</v>
      </c>
      <c r="G86" s="2">
        <v>34000</v>
      </c>
      <c r="H86" s="2">
        <v>3</v>
      </c>
      <c r="I86" s="2" t="s">
        <v>18</v>
      </c>
      <c r="J86" s="2" t="s">
        <v>12</v>
      </c>
      <c r="K86" s="2">
        <v>2</v>
      </c>
      <c r="L86" s="2" t="s">
        <v>20</v>
      </c>
      <c r="M86" s="2" t="s">
        <v>21</v>
      </c>
      <c r="N86" t="str">
        <f t="shared" si="1"/>
        <v>25-35</v>
      </c>
    </row>
    <row r="87" spans="1:14" x14ac:dyDescent="0.3">
      <c r="A87" s="3" t="s">
        <v>212</v>
      </c>
      <c r="B87" s="3" t="s">
        <v>213</v>
      </c>
      <c r="C87" s="3">
        <v>43</v>
      </c>
      <c r="D87" s="3" t="s">
        <v>24</v>
      </c>
      <c r="E87" s="3" t="s">
        <v>32</v>
      </c>
      <c r="F87" s="3" t="s">
        <v>44</v>
      </c>
      <c r="G87" s="3">
        <v>73000</v>
      </c>
      <c r="H87" s="3">
        <v>10</v>
      </c>
      <c r="I87" s="3" t="s">
        <v>27</v>
      </c>
      <c r="J87" s="3"/>
      <c r="K87" s="3">
        <v>5</v>
      </c>
      <c r="L87" s="3" t="s">
        <v>28</v>
      </c>
      <c r="M87" s="3" t="s">
        <v>29</v>
      </c>
      <c r="N87" t="str">
        <f t="shared" si="1"/>
        <v>36-45</v>
      </c>
    </row>
    <row r="88" spans="1:14" x14ac:dyDescent="0.3">
      <c r="A88" s="2" t="s">
        <v>214</v>
      </c>
      <c r="B88" s="2" t="s">
        <v>215</v>
      </c>
      <c r="C88" s="2">
        <v>26</v>
      </c>
      <c r="D88" s="2" t="s">
        <v>15</v>
      </c>
      <c r="E88" s="2" t="s">
        <v>16</v>
      </c>
      <c r="F88" s="2" t="s">
        <v>17</v>
      </c>
      <c r="G88" s="2">
        <v>30000</v>
      </c>
      <c r="H88" s="2">
        <v>1</v>
      </c>
      <c r="I88" s="2" t="s">
        <v>18</v>
      </c>
      <c r="J88" s="2" t="s">
        <v>19</v>
      </c>
      <c r="K88" s="2">
        <v>2</v>
      </c>
      <c r="L88" s="2" t="s">
        <v>20</v>
      </c>
      <c r="M88" s="2" t="s">
        <v>21</v>
      </c>
      <c r="N88" t="str">
        <f t="shared" si="1"/>
        <v>25-35</v>
      </c>
    </row>
    <row r="89" spans="1:14" x14ac:dyDescent="0.3">
      <c r="A89" s="3" t="s">
        <v>216</v>
      </c>
      <c r="B89" s="3" t="s">
        <v>217</v>
      </c>
      <c r="C89" s="3">
        <v>39</v>
      </c>
      <c r="D89" s="3" t="s">
        <v>24</v>
      </c>
      <c r="E89" s="3" t="s">
        <v>25</v>
      </c>
      <c r="F89" s="3" t="s">
        <v>26</v>
      </c>
      <c r="G89" s="3">
        <v>55000</v>
      </c>
      <c r="H89" s="3">
        <v>8</v>
      </c>
      <c r="I89" s="3" t="s">
        <v>27</v>
      </c>
      <c r="J89" s="3"/>
      <c r="K89" s="3">
        <v>4</v>
      </c>
      <c r="L89" s="3" t="s">
        <v>28</v>
      </c>
      <c r="M89" s="3" t="s">
        <v>29</v>
      </c>
      <c r="N89" t="str">
        <f t="shared" si="1"/>
        <v>36-45</v>
      </c>
    </row>
    <row r="90" spans="1:14" x14ac:dyDescent="0.3">
      <c r="A90" s="2" t="s">
        <v>218</v>
      </c>
      <c r="B90" s="2" t="s">
        <v>219</v>
      </c>
      <c r="C90" s="2">
        <v>50</v>
      </c>
      <c r="D90" s="2" t="s">
        <v>15</v>
      </c>
      <c r="E90" s="2" t="s">
        <v>37</v>
      </c>
      <c r="F90" s="2" t="s">
        <v>38</v>
      </c>
      <c r="G90" s="2">
        <v>50000</v>
      </c>
      <c r="H90" s="2">
        <v>7</v>
      </c>
      <c r="I90" s="2" t="s">
        <v>27</v>
      </c>
      <c r="J90" s="2"/>
      <c r="K90" s="2">
        <v>4</v>
      </c>
      <c r="L90" s="2" t="s">
        <v>28</v>
      </c>
      <c r="M90" s="2" t="s">
        <v>29</v>
      </c>
      <c r="N90" t="str">
        <f t="shared" si="1"/>
        <v>46+</v>
      </c>
    </row>
    <row r="91" spans="1:14" x14ac:dyDescent="0.3">
      <c r="A91" s="3" t="s">
        <v>220</v>
      </c>
      <c r="B91" s="3" t="s">
        <v>221</v>
      </c>
      <c r="C91" s="3">
        <v>24</v>
      </c>
      <c r="D91" s="3" t="s">
        <v>24</v>
      </c>
      <c r="E91" s="3" t="s">
        <v>16</v>
      </c>
      <c r="F91" s="3" t="s">
        <v>17</v>
      </c>
      <c r="G91" s="3">
        <v>27000</v>
      </c>
      <c r="H91" s="3">
        <v>1</v>
      </c>
      <c r="I91" s="3" t="s">
        <v>18</v>
      </c>
      <c r="J91" s="3" t="s">
        <v>19</v>
      </c>
      <c r="K91" s="3">
        <v>2</v>
      </c>
      <c r="L91" s="3" t="s">
        <v>20</v>
      </c>
      <c r="M91" s="3" t="s">
        <v>21</v>
      </c>
      <c r="N91" t="str">
        <f t="shared" si="1"/>
        <v>Under 25</v>
      </c>
    </row>
    <row r="92" spans="1:14" x14ac:dyDescent="0.3">
      <c r="A92" s="2" t="s">
        <v>222</v>
      </c>
      <c r="B92" s="2" t="s">
        <v>223</v>
      </c>
      <c r="C92" s="2">
        <v>35</v>
      </c>
      <c r="D92" s="2" t="s">
        <v>15</v>
      </c>
      <c r="E92" s="2" t="s">
        <v>32</v>
      </c>
      <c r="F92" s="2" t="s">
        <v>69</v>
      </c>
      <c r="G92" s="2">
        <v>64000</v>
      </c>
      <c r="H92" s="2">
        <v>7</v>
      </c>
      <c r="I92" s="2" t="s">
        <v>27</v>
      </c>
      <c r="J92" s="2"/>
      <c r="K92" s="2">
        <v>4</v>
      </c>
      <c r="L92" s="2" t="s">
        <v>28</v>
      </c>
      <c r="M92" s="2" t="s">
        <v>29</v>
      </c>
      <c r="N92" t="str">
        <f t="shared" si="1"/>
        <v>25-35</v>
      </c>
    </row>
    <row r="93" spans="1:14" x14ac:dyDescent="0.3">
      <c r="A93" s="3" t="s">
        <v>224</v>
      </c>
      <c r="B93" s="3" t="s">
        <v>225</v>
      </c>
      <c r="C93" s="3">
        <v>27</v>
      </c>
      <c r="D93" s="3" t="s">
        <v>24</v>
      </c>
      <c r="E93" s="3" t="s">
        <v>47</v>
      </c>
      <c r="F93" s="3" t="s">
        <v>48</v>
      </c>
      <c r="G93" s="3">
        <v>35000</v>
      </c>
      <c r="H93" s="3">
        <v>2</v>
      </c>
      <c r="I93" s="3" t="s">
        <v>18</v>
      </c>
      <c r="J93" s="3" t="s">
        <v>12</v>
      </c>
      <c r="K93" s="3">
        <v>3</v>
      </c>
      <c r="L93" s="3" t="s">
        <v>20</v>
      </c>
      <c r="M93" s="3" t="s">
        <v>21</v>
      </c>
      <c r="N93" t="str">
        <f t="shared" si="1"/>
        <v>25-35</v>
      </c>
    </row>
    <row r="94" spans="1:14" x14ac:dyDescent="0.3">
      <c r="A94" s="2" t="s">
        <v>226</v>
      </c>
      <c r="B94" s="2" t="s">
        <v>227</v>
      </c>
      <c r="C94" s="2">
        <v>56</v>
      </c>
      <c r="D94" s="2" t="s">
        <v>15</v>
      </c>
      <c r="E94" s="2" t="s">
        <v>37</v>
      </c>
      <c r="F94" s="2" t="s">
        <v>64</v>
      </c>
      <c r="G94" s="2">
        <v>127000</v>
      </c>
      <c r="H94" s="2">
        <v>23</v>
      </c>
      <c r="I94" s="2" t="s">
        <v>27</v>
      </c>
      <c r="J94" s="2"/>
      <c r="K94" s="2">
        <v>5</v>
      </c>
      <c r="L94" s="2" t="s">
        <v>28</v>
      </c>
      <c r="M94" s="2" t="s">
        <v>39</v>
      </c>
      <c r="N94" t="str">
        <f t="shared" si="1"/>
        <v>46+</v>
      </c>
    </row>
    <row r="95" spans="1:14" x14ac:dyDescent="0.3">
      <c r="A95" s="3" t="s">
        <v>228</v>
      </c>
      <c r="B95" s="3" t="s">
        <v>229</v>
      </c>
      <c r="C95" s="3">
        <v>25</v>
      </c>
      <c r="D95" s="3" t="s">
        <v>24</v>
      </c>
      <c r="E95" s="3" t="s">
        <v>16</v>
      </c>
      <c r="F95" s="3" t="s">
        <v>17</v>
      </c>
      <c r="G95" s="3">
        <v>29000</v>
      </c>
      <c r="H95" s="3">
        <v>1</v>
      </c>
      <c r="I95" s="3" t="s">
        <v>18</v>
      </c>
      <c r="J95" s="3" t="s">
        <v>19</v>
      </c>
      <c r="K95" s="3">
        <v>2</v>
      </c>
      <c r="L95" s="3" t="s">
        <v>20</v>
      </c>
      <c r="M95" s="3" t="s">
        <v>21</v>
      </c>
      <c r="N95" t="str">
        <f t="shared" si="1"/>
        <v>25-35</v>
      </c>
    </row>
    <row r="96" spans="1:14" x14ac:dyDescent="0.3">
      <c r="A96" s="2" t="s">
        <v>230</v>
      </c>
      <c r="B96" s="2" t="s">
        <v>231</v>
      </c>
      <c r="C96" s="2">
        <v>42</v>
      </c>
      <c r="D96" s="2" t="s">
        <v>15</v>
      </c>
      <c r="E96" s="2" t="s">
        <v>32</v>
      </c>
      <c r="F96" s="2" t="s">
        <v>111</v>
      </c>
      <c r="G96" s="2">
        <v>87000</v>
      </c>
      <c r="H96" s="2">
        <v>11</v>
      </c>
      <c r="I96" s="2" t="s">
        <v>27</v>
      </c>
      <c r="J96" s="2"/>
      <c r="K96" s="2">
        <v>5</v>
      </c>
      <c r="L96" s="2" t="s">
        <v>28</v>
      </c>
      <c r="M96" s="2" t="s">
        <v>29</v>
      </c>
      <c r="N96" t="str">
        <f t="shared" si="1"/>
        <v>36-45</v>
      </c>
    </row>
    <row r="97" spans="1:14" x14ac:dyDescent="0.3">
      <c r="A97" s="3" t="s">
        <v>232</v>
      </c>
      <c r="B97" s="3" t="s">
        <v>233</v>
      </c>
      <c r="C97" s="3">
        <v>28</v>
      </c>
      <c r="D97" s="3" t="s">
        <v>24</v>
      </c>
      <c r="E97" s="3" t="s">
        <v>25</v>
      </c>
      <c r="F97" s="3" t="s">
        <v>51</v>
      </c>
      <c r="G97" s="3">
        <v>37000</v>
      </c>
      <c r="H97" s="3">
        <v>2</v>
      </c>
      <c r="I97" s="3" t="s">
        <v>18</v>
      </c>
      <c r="J97" s="3" t="s">
        <v>34</v>
      </c>
      <c r="K97" s="3">
        <v>3</v>
      </c>
      <c r="L97" s="3" t="s">
        <v>20</v>
      </c>
      <c r="M97" s="3" t="s">
        <v>61</v>
      </c>
      <c r="N97" t="str">
        <f t="shared" si="1"/>
        <v>25-35</v>
      </c>
    </row>
    <row r="98" spans="1:14" x14ac:dyDescent="0.3">
      <c r="A98" s="2" t="s">
        <v>234</v>
      </c>
      <c r="B98" s="2" t="s">
        <v>235</v>
      </c>
      <c r="C98" s="2">
        <v>47</v>
      </c>
      <c r="D98" s="2" t="s">
        <v>15</v>
      </c>
      <c r="E98" s="2" t="s">
        <v>47</v>
      </c>
      <c r="F98" s="2" t="s">
        <v>74</v>
      </c>
      <c r="G98" s="2">
        <v>67000</v>
      </c>
      <c r="H98" s="2">
        <v>13</v>
      </c>
      <c r="I98" s="2" t="s">
        <v>27</v>
      </c>
      <c r="J98" s="2"/>
      <c r="K98" s="2">
        <v>4</v>
      </c>
      <c r="L98" s="2" t="s">
        <v>28</v>
      </c>
      <c r="M98" s="2" t="s">
        <v>29</v>
      </c>
      <c r="N98" t="str">
        <f t="shared" si="1"/>
        <v>46+</v>
      </c>
    </row>
    <row r="99" spans="1:14" x14ac:dyDescent="0.3">
      <c r="A99" s="3" t="s">
        <v>236</v>
      </c>
      <c r="B99" s="3" t="s">
        <v>237</v>
      </c>
      <c r="C99" s="3">
        <v>23</v>
      </c>
      <c r="D99" s="3" t="s">
        <v>24</v>
      </c>
      <c r="E99" s="3" t="s">
        <v>16</v>
      </c>
      <c r="F99" s="3" t="s">
        <v>17</v>
      </c>
      <c r="G99" s="3">
        <v>27000</v>
      </c>
      <c r="H99" s="3">
        <v>1</v>
      </c>
      <c r="I99" s="3" t="s">
        <v>18</v>
      </c>
      <c r="J99" s="3" t="s">
        <v>19</v>
      </c>
      <c r="K99" s="3">
        <v>2</v>
      </c>
      <c r="L99" s="3" t="s">
        <v>20</v>
      </c>
      <c r="M99" s="3" t="s">
        <v>21</v>
      </c>
      <c r="N99" t="str">
        <f t="shared" si="1"/>
        <v>Under 25</v>
      </c>
    </row>
    <row r="100" spans="1:14" x14ac:dyDescent="0.3">
      <c r="A100" s="2" t="s">
        <v>238</v>
      </c>
      <c r="B100" s="2" t="s">
        <v>239</v>
      </c>
      <c r="C100" s="2">
        <v>60</v>
      </c>
      <c r="D100" s="2" t="s">
        <v>15</v>
      </c>
      <c r="E100" s="2" t="s">
        <v>37</v>
      </c>
      <c r="F100" s="2" t="s">
        <v>54</v>
      </c>
      <c r="G100" s="2">
        <v>88000</v>
      </c>
      <c r="H100" s="2">
        <v>20</v>
      </c>
      <c r="I100" s="2" t="s">
        <v>27</v>
      </c>
      <c r="J100" s="2"/>
      <c r="K100" s="2">
        <v>5</v>
      </c>
      <c r="L100" s="2" t="s">
        <v>28</v>
      </c>
      <c r="M100" s="2" t="s">
        <v>39</v>
      </c>
      <c r="N100" t="str">
        <f t="shared" si="1"/>
        <v>46+</v>
      </c>
    </row>
    <row r="101" spans="1:14" x14ac:dyDescent="0.3">
      <c r="A101" s="3" t="s">
        <v>240</v>
      </c>
      <c r="B101" s="3" t="s">
        <v>241</v>
      </c>
      <c r="C101" s="3">
        <v>31</v>
      </c>
      <c r="D101" s="3" t="s">
        <v>24</v>
      </c>
      <c r="E101" s="3" t="s">
        <v>32</v>
      </c>
      <c r="F101" s="3" t="s">
        <v>33</v>
      </c>
      <c r="G101" s="3">
        <v>44000</v>
      </c>
      <c r="H101" s="3">
        <v>4</v>
      </c>
      <c r="I101" s="3" t="s">
        <v>27</v>
      </c>
      <c r="J101" s="3"/>
      <c r="K101" s="3">
        <v>4</v>
      </c>
      <c r="L101" s="3" t="s">
        <v>28</v>
      </c>
      <c r="M101" s="3" t="s">
        <v>61</v>
      </c>
      <c r="N101" t="str">
        <f t="shared" si="1"/>
        <v>25-35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 group</vt:lpstr>
      <vt:lpstr>Department</vt:lpstr>
      <vt:lpstr>HR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DABBADI CHANDU</dc:creator>
  <cp:lastModifiedBy>DABBADI CHANDU</cp:lastModifiedBy>
  <dcterms:created xsi:type="dcterms:W3CDTF">2026-06-03T07:44:58Z</dcterms:created>
  <dcterms:modified xsi:type="dcterms:W3CDTF">2026-06-04T03:08:05Z</dcterms:modified>
</cp:coreProperties>
</file>